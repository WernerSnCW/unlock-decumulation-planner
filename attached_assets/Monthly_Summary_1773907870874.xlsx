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2945482ed0d909/Documents/Personnal_Folders/Personnal_Folders/Personal Finance/Other/"/>
    </mc:Choice>
  </mc:AlternateContent>
  <xr:revisionPtr revIDLastSave="241" documentId="13_ncr:1_{75F81483-5C50-4B41-BBB4-0CC0EB44CB26}" xr6:coauthVersionLast="47" xr6:coauthVersionMax="47" xr10:uidLastSave="{1310D283-D06F-438A-AAD2-2189E23DBFD6}"/>
  <bookViews>
    <workbookView xWindow="-110" yWindow="-110" windowWidth="19420" windowHeight="11500" firstSheet="65" activeTab="69" xr2:uid="{819EAC23-17E2-45E6-825D-D561BE97A4FF}"/>
  </bookViews>
  <sheets>
    <sheet name="30_04_20" sheetId="1" r:id="rId1"/>
    <sheet name="29_05_20" sheetId="3" r:id="rId2"/>
    <sheet name="30_06_20" sheetId="4" r:id="rId3"/>
    <sheet name="31_07_20" sheetId="5" r:id="rId4"/>
    <sheet name="31_08_20" sheetId="6" r:id="rId5"/>
    <sheet name="01_10_20" sheetId="7" r:id="rId6"/>
    <sheet name="30-10-20" sheetId="8" r:id="rId7"/>
    <sheet name="30-11-20" sheetId="10" r:id="rId8"/>
    <sheet name="31-12-20" sheetId="9" r:id="rId9"/>
    <sheet name="31-01-21" sheetId="11" r:id="rId10"/>
    <sheet name="28-02-21" sheetId="12" r:id="rId11"/>
    <sheet name="31-03-21" sheetId="13" r:id="rId12"/>
    <sheet name="30-04-21" sheetId="14" r:id="rId13"/>
    <sheet name="30-06-21" sheetId="15" r:id="rId14"/>
    <sheet name="30-07-21" sheetId="16" r:id="rId15"/>
    <sheet name="31-08-21" sheetId="17" r:id="rId16"/>
    <sheet name="30-09-21" sheetId="18" r:id="rId17"/>
    <sheet name="29-10-21" sheetId="19" r:id="rId18"/>
    <sheet name="30-11-21" sheetId="20" r:id="rId19"/>
    <sheet name="31-12-21" sheetId="21" r:id="rId20"/>
    <sheet name="31-01-22" sheetId="22" r:id="rId21"/>
    <sheet name="02-03022" sheetId="23" r:id="rId22"/>
    <sheet name="02-04-22" sheetId="24" r:id="rId23"/>
    <sheet name="30-04-22" sheetId="25" r:id="rId24"/>
    <sheet name="31-05-22" sheetId="26" r:id="rId25"/>
    <sheet name="30-06-22" sheetId="27" r:id="rId26"/>
    <sheet name="31-07-22" sheetId="28" r:id="rId27"/>
    <sheet name="31-08-22" sheetId="29" r:id="rId28"/>
    <sheet name="30-09-22" sheetId="30" r:id="rId29"/>
    <sheet name="31-10-22" sheetId="31" r:id="rId30"/>
    <sheet name="30-11-22" sheetId="32" r:id="rId31"/>
    <sheet name="30-12-22" sheetId="33" r:id="rId32"/>
    <sheet name="31-01-23" sheetId="34" r:id="rId33"/>
    <sheet name="28-02-23" sheetId="35" r:id="rId34"/>
    <sheet name="31-03-23" sheetId="36" r:id="rId35"/>
    <sheet name="28-04-23" sheetId="37" r:id="rId36"/>
    <sheet name="31-05-23" sheetId="39" r:id="rId37"/>
    <sheet name="30-06-23" sheetId="40" r:id="rId38"/>
    <sheet name="31-07-23" sheetId="41" r:id="rId39"/>
    <sheet name="31-08-23" sheetId="42" r:id="rId40"/>
    <sheet name="30-09-23" sheetId="43" r:id="rId41"/>
    <sheet name="31-10-23" sheetId="44" r:id="rId42"/>
    <sheet name="30-11-23" sheetId="45" r:id="rId43"/>
    <sheet name="29-12-23" sheetId="46" r:id="rId44"/>
    <sheet name="31-01-24" sheetId="47" r:id="rId45"/>
    <sheet name="29-02-24" sheetId="48" r:id="rId46"/>
    <sheet name="28-03-24" sheetId="49" r:id="rId47"/>
    <sheet name="plus 1" sheetId="50" r:id="rId48"/>
    <sheet name="31-05-24" sheetId="51" r:id="rId49"/>
    <sheet name="28-06" sheetId="52" r:id="rId50"/>
    <sheet name="31-07-24" sheetId="53" r:id="rId51"/>
    <sheet name="31-08-24" sheetId="54" r:id="rId52"/>
    <sheet name="30-09-24" sheetId="55" r:id="rId53"/>
    <sheet name="31-10-24" sheetId="56" r:id="rId54"/>
    <sheet name="30-11-24" sheetId="57" r:id="rId55"/>
    <sheet name="31-12-24" sheetId="58" r:id="rId56"/>
    <sheet name="31-01-25" sheetId="59" r:id="rId57"/>
    <sheet name="28-02-2025" sheetId="60" r:id="rId58"/>
    <sheet name="31-03-2025" sheetId="61" r:id="rId59"/>
    <sheet name="30-04-2025" sheetId="62" r:id="rId60"/>
    <sheet name="31-05-2025" sheetId="63" r:id="rId61"/>
    <sheet name="30-06-2025" sheetId="64" r:id="rId62"/>
    <sheet name="31-07-2025" sheetId="65" r:id="rId63"/>
    <sheet name="31-08-2025" sheetId="66" r:id="rId64"/>
    <sheet name="30-09-2025" sheetId="67" r:id="rId65"/>
    <sheet name="31-10-2025" sheetId="68" r:id="rId66"/>
    <sheet name="28-11-2025" sheetId="69" r:id="rId67"/>
    <sheet name="31-12-2025" sheetId="70" r:id="rId68"/>
    <sheet name="31-01-2026" sheetId="71" r:id="rId69"/>
    <sheet name="28-02-2026" sheetId="72" r:id="rId70"/>
    <sheet name="Summary" sheetId="2" r:id="rId71"/>
  </sheets>
  <externalReferences>
    <externalReference r:id="rId7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8" i="72" l="1"/>
  <c r="BU17" i="2"/>
  <c r="BU16" i="2"/>
  <c r="BU12" i="2"/>
  <c r="BU15" i="2"/>
  <c r="BU14" i="2"/>
  <c r="BU13" i="2"/>
  <c r="BU18" i="2" l="1"/>
  <c r="BV17" i="2" s="1"/>
  <c r="BV16" i="2" l="1"/>
  <c r="BV15" i="2"/>
  <c r="BV14" i="2"/>
  <c r="BV13" i="2"/>
  <c r="BV12" i="2"/>
  <c r="G15" i="72" l="1"/>
  <c r="I15" i="72" s="1"/>
  <c r="I10" i="72"/>
  <c r="I11" i="72"/>
  <c r="I12" i="72"/>
  <c r="I13" i="72"/>
  <c r="I14" i="72"/>
  <c r="BW7" i="2"/>
  <c r="BW5" i="2"/>
  <c r="BW4" i="2"/>
  <c r="G5" i="72"/>
  <c r="I4" i="72"/>
  <c r="I5" i="72"/>
  <c r="G4" i="72"/>
  <c r="H15" i="72" l="1"/>
  <c r="H5" i="72"/>
  <c r="H4" i="72"/>
  <c r="F72" i="72"/>
  <c r="L63" i="72"/>
  <c r="F62" i="72"/>
  <c r="P56" i="72"/>
  <c r="L56" i="72"/>
  <c r="L55" i="72"/>
  <c r="E55" i="72"/>
  <c r="H53" i="72"/>
  <c r="P52" i="72"/>
  <c r="L52" i="72"/>
  <c r="E52" i="72"/>
  <c r="U49" i="72"/>
  <c r="E48" i="72"/>
  <c r="G42" i="72"/>
  <c r="T41" i="72"/>
  <c r="S41" i="72"/>
  <c r="G37" i="72"/>
  <c r="S35" i="72"/>
  <c r="K35" i="72"/>
  <c r="K34" i="72"/>
  <c r="G33" i="72"/>
  <c r="V30" i="72"/>
  <c r="AB29" i="72"/>
  <c r="AB28" i="72"/>
  <c r="G24" i="72"/>
  <c r="BW6" i="2" s="1"/>
  <c r="BW8" i="2" s="1"/>
  <c r="N25" i="72"/>
  <c r="X21" i="72"/>
  <c r="N20" i="72"/>
  <c r="I20" i="72"/>
  <c r="N19" i="72"/>
  <c r="N21" i="72" s="1"/>
  <c r="I19" i="72"/>
  <c r="Z18" i="72"/>
  <c r="Y18" i="72"/>
  <c r="R17" i="72"/>
  <c r="R18" i="72" s="1"/>
  <c r="N17" i="72"/>
  <c r="AG14" i="72"/>
  <c r="I16" i="72"/>
  <c r="S13" i="72"/>
  <c r="H24" i="72"/>
  <c r="Q11" i="72"/>
  <c r="N10" i="72"/>
  <c r="N27" i="72" s="1"/>
  <c r="G39" i="72" s="1"/>
  <c r="I9" i="72"/>
  <c r="I8" i="72"/>
  <c r="R7" i="72"/>
  <c r="I7" i="72"/>
  <c r="U6" i="72"/>
  <c r="R6" i="72"/>
  <c r="I6" i="72"/>
  <c r="B5" i="72"/>
  <c r="S4" i="72"/>
  <c r="R4" i="72" s="1"/>
  <c r="B4" i="72"/>
  <c r="BV4" i="2"/>
  <c r="BV5" i="2"/>
  <c r="BV6" i="2"/>
  <c r="BV7" i="2"/>
  <c r="G12" i="71"/>
  <c r="I24" i="72" l="1"/>
  <c r="J24" i="72" s="1"/>
  <c r="G44" i="72"/>
  <c r="BV8" i="2"/>
  <c r="BW9" i="2" s="1"/>
  <c r="G4" i="71"/>
  <c r="I4" i="71" s="1"/>
  <c r="G5" i="71"/>
  <c r="N10" i="71"/>
  <c r="H12" i="71"/>
  <c r="H5" i="71"/>
  <c r="H26" i="71" s="1"/>
  <c r="H4" i="71"/>
  <c r="F72" i="71"/>
  <c r="L63" i="71"/>
  <c r="F62" i="71"/>
  <c r="L55" i="71"/>
  <c r="E55" i="71"/>
  <c r="H53" i="71"/>
  <c r="P52" i="71"/>
  <c r="P56" i="71" s="1"/>
  <c r="L52" i="71"/>
  <c r="L56" i="71" s="1"/>
  <c r="E52" i="71"/>
  <c r="U49" i="71"/>
  <c r="E48" i="71"/>
  <c r="G42" i="71"/>
  <c r="T41" i="71"/>
  <c r="S41" i="71"/>
  <c r="S35" i="71"/>
  <c r="K34" i="71"/>
  <c r="K35" i="71" s="1"/>
  <c r="G33" i="71"/>
  <c r="G37" i="71" s="1"/>
  <c r="V30" i="71"/>
  <c r="AB28" i="71"/>
  <c r="AB29" i="71" s="1"/>
  <c r="G26" i="71"/>
  <c r="N25" i="71"/>
  <c r="X21" i="71"/>
  <c r="N20" i="71"/>
  <c r="I20" i="71"/>
  <c r="N19" i="71"/>
  <c r="N21" i="71" s="1"/>
  <c r="I19" i="71"/>
  <c r="Y18" i="71"/>
  <c r="Z18" i="71" s="1"/>
  <c r="I18" i="71"/>
  <c r="R17" i="71"/>
  <c r="R18" i="71" s="1"/>
  <c r="N17" i="71"/>
  <c r="I17" i="71"/>
  <c r="I16" i="71"/>
  <c r="I15" i="71"/>
  <c r="AG14" i="71"/>
  <c r="I14" i="71"/>
  <c r="S13" i="71"/>
  <c r="I13" i="71"/>
  <c r="Q11" i="71"/>
  <c r="I11" i="71"/>
  <c r="I10" i="71"/>
  <c r="I9" i="71"/>
  <c r="I8" i="71"/>
  <c r="R7" i="71"/>
  <c r="I7" i="71"/>
  <c r="U6" i="71"/>
  <c r="R6" i="71"/>
  <c r="I6" i="71"/>
  <c r="B5" i="71"/>
  <c r="S4" i="71"/>
  <c r="R4" i="71"/>
  <c r="B4" i="71"/>
  <c r="J26" i="70"/>
  <c r="BU7" i="2"/>
  <c r="BU6" i="2"/>
  <c r="BU5" i="2"/>
  <c r="BU4" i="2"/>
  <c r="G5" i="70"/>
  <c r="G4" i="70"/>
  <c r="BW10" i="2" l="1"/>
  <c r="BU8" i="2"/>
  <c r="BU10" i="2" s="1"/>
  <c r="BU9" i="2"/>
  <c r="N27" i="71"/>
  <c r="G39" i="71" s="1"/>
  <c r="I12" i="71"/>
  <c r="I26" i="71"/>
  <c r="J26" i="71" s="1"/>
  <c r="I5" i="71"/>
  <c r="G44" i="71"/>
  <c r="G12" i="70"/>
  <c r="G26" i="70" s="1"/>
  <c r="I26" i="70" s="1"/>
  <c r="H12" i="70"/>
  <c r="H5" i="70"/>
  <c r="H4" i="70"/>
  <c r="F72" i="70"/>
  <c r="L63" i="70"/>
  <c r="F62" i="70"/>
  <c r="L55" i="70"/>
  <c r="E55" i="70"/>
  <c r="H53" i="70"/>
  <c r="P52" i="70"/>
  <c r="P56" i="70" s="1"/>
  <c r="L52" i="70"/>
  <c r="L56" i="70" s="1"/>
  <c r="E52" i="70"/>
  <c r="U49" i="70"/>
  <c r="E48" i="70"/>
  <c r="G42" i="70"/>
  <c r="T41" i="70"/>
  <c r="S41" i="70"/>
  <c r="S35" i="70"/>
  <c r="K34" i="70"/>
  <c r="K35" i="70" s="1"/>
  <c r="G33" i="70"/>
  <c r="G37" i="70" s="1"/>
  <c r="V30" i="70"/>
  <c r="AB28" i="70"/>
  <c r="AB29" i="70" s="1"/>
  <c r="H26" i="70"/>
  <c r="N25" i="70"/>
  <c r="X21" i="70"/>
  <c r="N21" i="70"/>
  <c r="N27" i="70" s="1"/>
  <c r="G39" i="70" s="1"/>
  <c r="N20" i="70"/>
  <c r="I20" i="70"/>
  <c r="N19" i="70"/>
  <c r="I19" i="70"/>
  <c r="Y18" i="70"/>
  <c r="Z18" i="70" s="1"/>
  <c r="I18" i="70"/>
  <c r="R17" i="70"/>
  <c r="R18" i="70" s="1"/>
  <c r="N17" i="70"/>
  <c r="I17" i="70"/>
  <c r="I16" i="70"/>
  <c r="I15" i="70"/>
  <c r="AG14" i="70"/>
  <c r="I14" i="70"/>
  <c r="S13" i="70"/>
  <c r="I13" i="70"/>
  <c r="I12" i="70"/>
  <c r="Q11" i="70"/>
  <c r="I11" i="70"/>
  <c r="N10" i="70"/>
  <c r="I10" i="70"/>
  <c r="I9" i="70"/>
  <c r="I8" i="70"/>
  <c r="R7" i="70"/>
  <c r="I7" i="70"/>
  <c r="U6" i="70"/>
  <c r="R6" i="70"/>
  <c r="I6" i="70"/>
  <c r="I5" i="70"/>
  <c r="B5" i="70"/>
  <c r="S4" i="70"/>
  <c r="R4" i="70" s="1"/>
  <c r="I4" i="70"/>
  <c r="B4" i="70"/>
  <c r="BT6" i="2"/>
  <c r="G12" i="69"/>
  <c r="I5" i="69"/>
  <c r="I6" i="69"/>
  <c r="I7" i="69"/>
  <c r="I8" i="69"/>
  <c r="I9" i="69"/>
  <c r="I10" i="69"/>
  <c r="I11" i="69"/>
  <c r="I12" i="69"/>
  <c r="I13" i="69"/>
  <c r="I14" i="69"/>
  <c r="I15" i="69"/>
  <c r="I16" i="69"/>
  <c r="I17" i="69"/>
  <c r="I18" i="69"/>
  <c r="I19" i="69"/>
  <c r="I20" i="69"/>
  <c r="I4" i="69"/>
  <c r="G4" i="69"/>
  <c r="G5" i="69"/>
  <c r="BV9" i="2" l="1"/>
  <c r="BV10" i="2"/>
  <c r="G44" i="70"/>
  <c r="BT8" i="2"/>
  <c r="H12" i="69"/>
  <c r="H26" i="69" s="1"/>
  <c r="H5" i="69"/>
  <c r="H4" i="69"/>
  <c r="F72" i="69"/>
  <c r="L63" i="69"/>
  <c r="F62" i="69"/>
  <c r="L55" i="69"/>
  <c r="E55" i="69"/>
  <c r="H53" i="69"/>
  <c r="P52" i="69"/>
  <c r="P56" i="69" s="1"/>
  <c r="L52" i="69"/>
  <c r="L56" i="69" s="1"/>
  <c r="E52" i="69"/>
  <c r="U49" i="69"/>
  <c r="E48" i="69"/>
  <c r="G42" i="69"/>
  <c r="T41" i="69"/>
  <c r="S41" i="69"/>
  <c r="S35" i="69"/>
  <c r="K34" i="69"/>
  <c r="K35" i="69" s="1"/>
  <c r="G33" i="69"/>
  <c r="G37" i="69" s="1"/>
  <c r="V30" i="69"/>
  <c r="AB28" i="69"/>
  <c r="AB29" i="69" s="1"/>
  <c r="G26" i="69"/>
  <c r="N25" i="69"/>
  <c r="X21" i="69"/>
  <c r="N20" i="69"/>
  <c r="N19" i="69"/>
  <c r="N21" i="69" s="1"/>
  <c r="N27" i="69" s="1"/>
  <c r="G39" i="69" s="1"/>
  <c r="Y18" i="69"/>
  <c r="Z18" i="69" s="1"/>
  <c r="R17" i="69"/>
  <c r="R18" i="69" s="1"/>
  <c r="N17" i="69"/>
  <c r="AG14" i="69"/>
  <c r="S13" i="69"/>
  <c r="Q11" i="69"/>
  <c r="N10" i="69"/>
  <c r="R7" i="69"/>
  <c r="U6" i="69"/>
  <c r="R6" i="69"/>
  <c r="B5" i="69"/>
  <c r="S4" i="69"/>
  <c r="R4" i="69" s="1"/>
  <c r="B4" i="69"/>
  <c r="G12" i="68"/>
  <c r="BS5" i="2"/>
  <c r="BS4" i="2"/>
  <c r="G4" i="68"/>
  <c r="J26" i="69" l="1"/>
  <c r="G44" i="69"/>
  <c r="G5" i="68"/>
  <c r="H12" i="68" l="1"/>
  <c r="H5" i="68"/>
  <c r="H4" i="68"/>
  <c r="H26" i="68" s="1"/>
  <c r="F72" i="68"/>
  <c r="L63" i="68"/>
  <c r="F62" i="68"/>
  <c r="L55" i="68"/>
  <c r="E55" i="68"/>
  <c r="H53" i="68"/>
  <c r="P52" i="68"/>
  <c r="P56" i="68" s="1"/>
  <c r="L52" i="68"/>
  <c r="L56" i="68" s="1"/>
  <c r="E52" i="68"/>
  <c r="U49" i="68"/>
  <c r="E48" i="68"/>
  <c r="G42" i="68"/>
  <c r="T41" i="68"/>
  <c r="S41" i="68"/>
  <c r="G37" i="68"/>
  <c r="S35" i="68"/>
  <c r="K35" i="68"/>
  <c r="K34" i="68"/>
  <c r="G33" i="68"/>
  <c r="V30" i="68"/>
  <c r="AB29" i="68"/>
  <c r="AB28" i="68"/>
  <c r="N25" i="68"/>
  <c r="X21" i="68"/>
  <c r="N20" i="68"/>
  <c r="I20" i="68"/>
  <c r="N19" i="68"/>
  <c r="N21" i="68" s="1"/>
  <c r="I19" i="68"/>
  <c r="Z18" i="68"/>
  <c r="Y18" i="68"/>
  <c r="I18" i="68"/>
  <c r="R17" i="68"/>
  <c r="R18" i="68" s="1"/>
  <c r="N17" i="68"/>
  <c r="I17" i="68"/>
  <c r="I16" i="68"/>
  <c r="I15" i="68"/>
  <c r="AG14" i="68"/>
  <c r="I14" i="68"/>
  <c r="S13" i="68"/>
  <c r="I13" i="68"/>
  <c r="Q11" i="68"/>
  <c r="I11" i="68"/>
  <c r="N10" i="68"/>
  <c r="N27" i="68" s="1"/>
  <c r="G39" i="68" s="1"/>
  <c r="G44" i="68" s="1"/>
  <c r="I10" i="68"/>
  <c r="I9" i="68"/>
  <c r="I8" i="68"/>
  <c r="R7" i="68"/>
  <c r="I7" i="68"/>
  <c r="U6" i="68"/>
  <c r="R6" i="68"/>
  <c r="I6" i="68"/>
  <c r="I5" i="68"/>
  <c r="B5" i="68"/>
  <c r="S4" i="68"/>
  <c r="R4" i="68" s="1"/>
  <c r="I4" i="68"/>
  <c r="G26" i="68"/>
  <c r="BS6" i="2" s="1"/>
  <c r="BS8" i="2" s="1"/>
  <c r="BT9" i="2" s="1"/>
  <c r="B4" i="68"/>
  <c r="BR5" i="2"/>
  <c r="BR4" i="2"/>
  <c r="BR7" i="2"/>
  <c r="BR6" i="2"/>
  <c r="G12" i="67"/>
  <c r="BR8" i="2" l="1"/>
  <c r="BS9" i="2" s="1"/>
  <c r="J26" i="68"/>
  <c r="G4" i="67"/>
  <c r="G5" i="67"/>
  <c r="F72" i="67"/>
  <c r="L63" i="67"/>
  <c r="F62" i="67"/>
  <c r="L55" i="67"/>
  <c r="E55" i="67"/>
  <c r="H53" i="67"/>
  <c r="P52" i="67"/>
  <c r="P56" i="67" s="1"/>
  <c r="L52" i="67"/>
  <c r="L56" i="67" s="1"/>
  <c r="E52" i="67"/>
  <c r="U49" i="67"/>
  <c r="E48" i="67"/>
  <c r="G42" i="67"/>
  <c r="G44" i="67" s="1"/>
  <c r="T41" i="67"/>
  <c r="S41" i="67"/>
  <c r="S35" i="67"/>
  <c r="K34" i="67"/>
  <c r="K35" i="67" s="1"/>
  <c r="G33" i="67"/>
  <c r="G37" i="67" s="1"/>
  <c r="V30" i="67"/>
  <c r="AB28" i="67"/>
  <c r="AB29" i="67" s="1"/>
  <c r="N25" i="67"/>
  <c r="X21" i="67"/>
  <c r="N20" i="67"/>
  <c r="I20" i="67"/>
  <c r="N19" i="67"/>
  <c r="N21" i="67" s="1"/>
  <c r="N27" i="67" s="1"/>
  <c r="G39" i="67" s="1"/>
  <c r="I19" i="67"/>
  <c r="Y18" i="67"/>
  <c r="Z18" i="67" s="1"/>
  <c r="I18" i="67"/>
  <c r="R17" i="67"/>
  <c r="R18" i="67" s="1"/>
  <c r="N17" i="67"/>
  <c r="I17" i="67"/>
  <c r="I16" i="67"/>
  <c r="I15" i="67"/>
  <c r="AG14" i="67"/>
  <c r="I14" i="67"/>
  <c r="S13" i="67"/>
  <c r="I13" i="67"/>
  <c r="H12" i="67"/>
  <c r="H26" i="67" s="1"/>
  <c r="Q11" i="67"/>
  <c r="I11" i="67"/>
  <c r="N10" i="67"/>
  <c r="I10" i="67"/>
  <c r="I9" i="67"/>
  <c r="I8" i="67"/>
  <c r="R7" i="67"/>
  <c r="I7" i="67"/>
  <c r="U6" i="67"/>
  <c r="R6" i="67"/>
  <c r="I6" i="67"/>
  <c r="I5" i="67"/>
  <c r="H5" i="67"/>
  <c r="B5" i="67"/>
  <c r="S4" i="67"/>
  <c r="R4" i="67" s="1"/>
  <c r="I4" i="67"/>
  <c r="H4" i="67"/>
  <c r="B4" i="67"/>
  <c r="BQ7" i="2"/>
  <c r="BQ6" i="2"/>
  <c r="G12" i="66"/>
  <c r="G26" i="67" l="1"/>
  <c r="J26" i="67" s="1"/>
  <c r="G5" i="66"/>
  <c r="G4" i="66"/>
  <c r="G26" i="66"/>
  <c r="BQ5" i="2"/>
  <c r="BQ4" i="2"/>
  <c r="H12" i="66"/>
  <c r="H5" i="66"/>
  <c r="H26" i="66" s="1"/>
  <c r="H4" i="66"/>
  <c r="N19" i="66"/>
  <c r="N21" i="66" s="1"/>
  <c r="N27" i="66" s="1"/>
  <c r="G39" i="66" s="1"/>
  <c r="F72" i="66"/>
  <c r="L63" i="66"/>
  <c r="F62" i="66"/>
  <c r="P56" i="66"/>
  <c r="L56" i="66"/>
  <c r="L55" i="66"/>
  <c r="E55" i="66"/>
  <c r="H53" i="66"/>
  <c r="P52" i="66"/>
  <c r="L52" i="66"/>
  <c r="E52" i="66"/>
  <c r="U49" i="66"/>
  <c r="E48" i="66"/>
  <c r="G42" i="66"/>
  <c r="T41" i="66"/>
  <c r="S41" i="66"/>
  <c r="S35" i="66"/>
  <c r="K35" i="66"/>
  <c r="K34" i="66"/>
  <c r="G33" i="66"/>
  <c r="G37" i="66" s="1"/>
  <c r="V30" i="66"/>
  <c r="AB28" i="66"/>
  <c r="AB29" i="66" s="1"/>
  <c r="N25" i="66"/>
  <c r="X21" i="66"/>
  <c r="N20" i="66"/>
  <c r="I20" i="66"/>
  <c r="I19" i="66"/>
  <c r="Y18" i="66"/>
  <c r="Z18" i="66" s="1"/>
  <c r="I18" i="66"/>
  <c r="R17" i="66"/>
  <c r="R18" i="66" s="1"/>
  <c r="N17" i="66"/>
  <c r="I17" i="66"/>
  <c r="I16" i="66"/>
  <c r="I15" i="66"/>
  <c r="AG14" i="66"/>
  <c r="I14" i="66"/>
  <c r="S13" i="66"/>
  <c r="I13" i="66"/>
  <c r="Q11" i="66"/>
  <c r="I11" i="66"/>
  <c r="N10" i="66"/>
  <c r="I10" i="66"/>
  <c r="I9" i="66"/>
  <c r="I8" i="66"/>
  <c r="R7" i="66"/>
  <c r="I7" i="66"/>
  <c r="U6" i="66"/>
  <c r="R6" i="66"/>
  <c r="I6" i="66"/>
  <c r="I5" i="66"/>
  <c r="B5" i="66"/>
  <c r="S4" i="66"/>
  <c r="R4" i="66" s="1"/>
  <c r="I4" i="66"/>
  <c r="B4" i="66"/>
  <c r="BP5" i="2"/>
  <c r="BP4" i="2"/>
  <c r="BP7" i="2"/>
  <c r="BP6" i="2"/>
  <c r="G12" i="65"/>
  <c r="BQ8" i="2" l="1"/>
  <c r="BR9" i="2" s="1"/>
  <c r="BP8" i="2"/>
  <c r="J26" i="66"/>
  <c r="G44" i="66"/>
  <c r="G4" i="65"/>
  <c r="G5" i="65"/>
  <c r="H12" i="65"/>
  <c r="H5" i="65"/>
  <c r="H4" i="65"/>
  <c r="BQ9" i="2" l="1"/>
  <c r="F72" i="65"/>
  <c r="L63" i="65"/>
  <c r="F62" i="65"/>
  <c r="L55" i="65"/>
  <c r="E55" i="65"/>
  <c r="H53" i="65"/>
  <c r="P52" i="65"/>
  <c r="P56" i="65" s="1"/>
  <c r="L52" i="65"/>
  <c r="L56" i="65" s="1"/>
  <c r="E52" i="65"/>
  <c r="U49" i="65"/>
  <c r="E48" i="65"/>
  <c r="G42" i="65"/>
  <c r="G44" i="65" s="1"/>
  <c r="T41" i="65"/>
  <c r="S41" i="65"/>
  <c r="S35" i="65"/>
  <c r="K34" i="65"/>
  <c r="K35" i="65" s="1"/>
  <c r="G33" i="65"/>
  <c r="G37" i="65" s="1"/>
  <c r="V30" i="65"/>
  <c r="AB28" i="65"/>
  <c r="AB29" i="65" s="1"/>
  <c r="H26" i="65"/>
  <c r="G26" i="65"/>
  <c r="J26" i="65" s="1"/>
  <c r="N25" i="65"/>
  <c r="X21" i="65"/>
  <c r="N20" i="65"/>
  <c r="I20" i="65"/>
  <c r="N19" i="65"/>
  <c r="N21" i="65" s="1"/>
  <c r="N27" i="65" s="1"/>
  <c r="G39" i="65" s="1"/>
  <c r="I19" i="65"/>
  <c r="Y18" i="65"/>
  <c r="Z18" i="65" s="1"/>
  <c r="I18" i="65"/>
  <c r="R17" i="65"/>
  <c r="R18" i="65" s="1"/>
  <c r="N17" i="65"/>
  <c r="I17" i="65"/>
  <c r="I16" i="65"/>
  <c r="I15" i="65"/>
  <c r="AG14" i="65"/>
  <c r="I14" i="65"/>
  <c r="S13" i="65"/>
  <c r="I13" i="65"/>
  <c r="Q11" i="65"/>
  <c r="I11" i="65"/>
  <c r="N10" i="65"/>
  <c r="I10" i="65"/>
  <c r="I9" i="65"/>
  <c r="I8" i="65"/>
  <c r="R7" i="65"/>
  <c r="I7" i="65"/>
  <c r="U6" i="65"/>
  <c r="R6" i="65"/>
  <c r="I6" i="65"/>
  <c r="I5" i="65"/>
  <c r="B5" i="65"/>
  <c r="S4" i="65"/>
  <c r="R4" i="65"/>
  <c r="I4" i="65"/>
  <c r="B4" i="65"/>
  <c r="G26" i="64"/>
  <c r="BP17" i="2" l="1"/>
  <c r="BP16" i="2"/>
  <c r="BP15" i="2"/>
  <c r="BP14" i="2"/>
  <c r="BP13" i="2"/>
  <c r="BP12" i="2"/>
  <c r="BO16" i="2"/>
  <c r="BO18" i="2"/>
  <c r="BO17" i="2"/>
  <c r="BO15" i="2"/>
  <c r="BO14" i="2"/>
  <c r="BO13" i="2"/>
  <c r="BO12" i="2"/>
  <c r="G12" i="64"/>
  <c r="BO5" i="2"/>
  <c r="BO7" i="2"/>
  <c r="G5" i="64" l="1"/>
  <c r="G4" i="64"/>
  <c r="F72" i="64"/>
  <c r="L63" i="64"/>
  <c r="F62" i="64"/>
  <c r="L55" i="64"/>
  <c r="E55" i="64"/>
  <c r="H53" i="64"/>
  <c r="P52" i="64"/>
  <c r="P56" i="64" s="1"/>
  <c r="L52" i="64"/>
  <c r="L56" i="64" s="1"/>
  <c r="E52" i="64"/>
  <c r="U49" i="64"/>
  <c r="E48" i="64"/>
  <c r="G42" i="64"/>
  <c r="T41" i="64"/>
  <c r="S41" i="64"/>
  <c r="S35" i="64"/>
  <c r="K34" i="64"/>
  <c r="K35" i="64" s="1"/>
  <c r="G33" i="64"/>
  <c r="G37" i="64" s="1"/>
  <c r="V30" i="64"/>
  <c r="AB28" i="64"/>
  <c r="AB29" i="64" s="1"/>
  <c r="N25" i="64"/>
  <c r="X21" i="64"/>
  <c r="N20" i="64"/>
  <c r="I20" i="64"/>
  <c r="N19" i="64"/>
  <c r="N21" i="64" s="1"/>
  <c r="N27" i="64" s="1"/>
  <c r="G39" i="64" s="1"/>
  <c r="I19" i="64"/>
  <c r="Y18" i="64"/>
  <c r="Z18" i="64" s="1"/>
  <c r="I18" i="64"/>
  <c r="R17" i="64"/>
  <c r="R18" i="64" s="1"/>
  <c r="N17" i="64"/>
  <c r="I17" i="64"/>
  <c r="I16" i="64"/>
  <c r="I15" i="64"/>
  <c r="AG14" i="64"/>
  <c r="I14" i="64"/>
  <c r="S13" i="64"/>
  <c r="I13" i="64"/>
  <c r="H12" i="64"/>
  <c r="H26" i="64" s="1"/>
  <c r="Q11" i="64"/>
  <c r="I11" i="64"/>
  <c r="N10" i="64"/>
  <c r="I10" i="64"/>
  <c r="I9" i="64"/>
  <c r="I8" i="64"/>
  <c r="R7" i="64"/>
  <c r="I7" i="64"/>
  <c r="U6" i="64"/>
  <c r="R6" i="64"/>
  <c r="I6" i="64"/>
  <c r="I5" i="64"/>
  <c r="H5" i="64"/>
  <c r="B5" i="64"/>
  <c r="S4" i="64"/>
  <c r="R4" i="64"/>
  <c r="I4" i="64"/>
  <c r="H4" i="64"/>
  <c r="B4" i="64"/>
  <c r="BN7" i="2"/>
  <c r="BN5" i="2"/>
  <c r="BN4" i="2"/>
  <c r="G44" i="64" l="1"/>
  <c r="G5" i="63"/>
  <c r="G26" i="63"/>
  <c r="BN6" i="2" s="1"/>
  <c r="BN8" i="2" s="1"/>
  <c r="G4" i="63"/>
  <c r="G12" i="63"/>
  <c r="H5" i="63"/>
  <c r="H4" i="63"/>
  <c r="H26" i="63" s="1"/>
  <c r="F72" i="63"/>
  <c r="L63" i="63"/>
  <c r="F62" i="63"/>
  <c r="P56" i="63"/>
  <c r="L55" i="63"/>
  <c r="E55" i="63"/>
  <c r="H53" i="63"/>
  <c r="P52" i="63"/>
  <c r="L52" i="63"/>
  <c r="L56" i="63" s="1"/>
  <c r="E52" i="63"/>
  <c r="U49" i="63"/>
  <c r="E48" i="63"/>
  <c r="G42" i="63"/>
  <c r="G44" i="63" s="1"/>
  <c r="T41" i="63"/>
  <c r="S41" i="63"/>
  <c r="G37" i="63"/>
  <c r="S35" i="63"/>
  <c r="K35" i="63"/>
  <c r="K34" i="63"/>
  <c r="G33" i="63"/>
  <c r="V30" i="63"/>
  <c r="AB28" i="63"/>
  <c r="AB29" i="63" s="1"/>
  <c r="N25" i="63"/>
  <c r="X21" i="63"/>
  <c r="N20" i="63"/>
  <c r="I20" i="63"/>
  <c r="N19" i="63"/>
  <c r="N21" i="63" s="1"/>
  <c r="N27" i="63" s="1"/>
  <c r="G39" i="63" s="1"/>
  <c r="I19" i="63"/>
  <c r="Z18" i="63"/>
  <c r="Y18" i="63"/>
  <c r="I18" i="63"/>
  <c r="R17" i="63"/>
  <c r="R18" i="63" s="1"/>
  <c r="N17" i="63"/>
  <c r="I17" i="63"/>
  <c r="I16" i="63"/>
  <c r="I15" i="63"/>
  <c r="AG14" i="63"/>
  <c r="I14" i="63"/>
  <c r="S13" i="63"/>
  <c r="I13" i="63"/>
  <c r="Q11" i="63"/>
  <c r="I11" i="63"/>
  <c r="N10" i="63"/>
  <c r="I10" i="63"/>
  <c r="I9" i="63"/>
  <c r="I8" i="63"/>
  <c r="R7" i="63"/>
  <c r="I7" i="63"/>
  <c r="U6" i="63"/>
  <c r="R6" i="63"/>
  <c r="I6" i="63"/>
  <c r="I5" i="63"/>
  <c r="B5" i="63"/>
  <c r="S4" i="63"/>
  <c r="R4" i="63"/>
  <c r="I4" i="63"/>
  <c r="B4" i="63"/>
  <c r="BM4" i="2"/>
  <c r="BM5" i="2"/>
  <c r="BM7" i="2"/>
  <c r="BL6" i="2"/>
  <c r="BM6" i="2"/>
  <c r="J26" i="64" l="1"/>
  <c r="BO6" i="2"/>
  <c r="BM8" i="2"/>
  <c r="BN9" i="2" s="1"/>
  <c r="J26" i="63"/>
  <c r="G5" i="62"/>
  <c r="G4" i="62"/>
  <c r="F72" i="62" l="1"/>
  <c r="L63" i="62"/>
  <c r="F62" i="62"/>
  <c r="L55" i="62"/>
  <c r="E55" i="62"/>
  <c r="H53" i="62"/>
  <c r="P52" i="62"/>
  <c r="P56" i="62" s="1"/>
  <c r="L52" i="62"/>
  <c r="L56" i="62" s="1"/>
  <c r="E52" i="62"/>
  <c r="U49" i="62"/>
  <c r="E48" i="62"/>
  <c r="G42" i="62"/>
  <c r="G44" i="62" s="1"/>
  <c r="T41" i="62"/>
  <c r="S41" i="62"/>
  <c r="S35" i="62"/>
  <c r="K34" i="62"/>
  <c r="K35" i="62" s="1"/>
  <c r="G33" i="62"/>
  <c r="G37" i="62" s="1"/>
  <c r="V30" i="62"/>
  <c r="AB28" i="62"/>
  <c r="AB29" i="62" s="1"/>
  <c r="N25" i="62"/>
  <c r="X21" i="62"/>
  <c r="N20" i="62"/>
  <c r="I20" i="62"/>
  <c r="N19" i="62"/>
  <c r="N21" i="62" s="1"/>
  <c r="N27" i="62" s="1"/>
  <c r="G39" i="62" s="1"/>
  <c r="I19" i="62"/>
  <c r="Y18" i="62"/>
  <c r="Z18" i="62" s="1"/>
  <c r="I18" i="62"/>
  <c r="R17" i="62"/>
  <c r="R18" i="62" s="1"/>
  <c r="N17" i="62"/>
  <c r="I17" i="62"/>
  <c r="I16" i="62"/>
  <c r="I15" i="62"/>
  <c r="AG14" i="62"/>
  <c r="I14" i="62"/>
  <c r="S13" i="62"/>
  <c r="I13" i="62"/>
  <c r="Q11" i="62"/>
  <c r="I11" i="62"/>
  <c r="N10" i="62"/>
  <c r="I10" i="62"/>
  <c r="I9" i="62"/>
  <c r="I8" i="62"/>
  <c r="R7" i="62"/>
  <c r="I7" i="62"/>
  <c r="U6" i="62"/>
  <c r="R6" i="62"/>
  <c r="I6" i="62"/>
  <c r="I5" i="62"/>
  <c r="H5" i="62"/>
  <c r="H26" i="62" s="1"/>
  <c r="B5" i="62"/>
  <c r="S4" i="62"/>
  <c r="R4" i="62"/>
  <c r="I4" i="62"/>
  <c r="H4" i="62"/>
  <c r="B4" i="62"/>
  <c r="G10" i="61"/>
  <c r="BL5" i="2"/>
  <c r="BL4" i="2"/>
  <c r="G5" i="61"/>
  <c r="G4" i="61"/>
  <c r="BL8" i="2" l="1"/>
  <c r="BM9" i="2" s="1"/>
  <c r="BL7" i="2"/>
  <c r="H5" i="61"/>
  <c r="H4" i="61"/>
  <c r="F72" i="61"/>
  <c r="L63" i="61"/>
  <c r="F62" i="61"/>
  <c r="L55" i="61"/>
  <c r="E55" i="61"/>
  <c r="H53" i="61"/>
  <c r="P52" i="61"/>
  <c r="P56" i="61" s="1"/>
  <c r="L52" i="61"/>
  <c r="L56" i="61" s="1"/>
  <c r="E52" i="61"/>
  <c r="U49" i="61"/>
  <c r="E48" i="61"/>
  <c r="G42" i="61"/>
  <c r="G44" i="61" s="1"/>
  <c r="T41" i="61"/>
  <c r="S41" i="61"/>
  <c r="S35" i="61"/>
  <c r="K34" i="61"/>
  <c r="K35" i="61" s="1"/>
  <c r="G33" i="61"/>
  <c r="G37" i="61" s="1"/>
  <c r="V30" i="61"/>
  <c r="AB28" i="61"/>
  <c r="AB29" i="61" s="1"/>
  <c r="N25" i="61"/>
  <c r="X21" i="61"/>
  <c r="N20" i="61"/>
  <c r="N21" i="61" s="1"/>
  <c r="N27" i="61" s="1"/>
  <c r="G39" i="61" s="1"/>
  <c r="I20" i="61"/>
  <c r="N19" i="61"/>
  <c r="I19" i="61"/>
  <c r="Y18" i="61"/>
  <c r="Z18" i="61" s="1"/>
  <c r="I18" i="61"/>
  <c r="R17" i="61"/>
  <c r="R18" i="61" s="1"/>
  <c r="N17" i="61"/>
  <c r="I17" i="61"/>
  <c r="I16" i="61"/>
  <c r="I15" i="61"/>
  <c r="AG14" i="61"/>
  <c r="I14" i="61"/>
  <c r="S13" i="61"/>
  <c r="I13" i="61"/>
  <c r="Q11" i="61"/>
  <c r="I11" i="61"/>
  <c r="N10" i="61"/>
  <c r="I10" i="61"/>
  <c r="I9" i="61"/>
  <c r="I8" i="61"/>
  <c r="R7" i="61"/>
  <c r="I7" i="61"/>
  <c r="U6" i="61"/>
  <c r="R6" i="61"/>
  <c r="I6" i="61"/>
  <c r="I5" i="61"/>
  <c r="H26" i="61"/>
  <c r="G26" i="61"/>
  <c r="J26" i="61" s="1"/>
  <c r="B5" i="61"/>
  <c r="S4" i="61"/>
  <c r="R4" i="61"/>
  <c r="I4" i="61"/>
  <c r="B4" i="61"/>
  <c r="BK5" i="2"/>
  <c r="BK4" i="2"/>
  <c r="BK6" i="2"/>
  <c r="G4" i="60"/>
  <c r="G5" i="60"/>
  <c r="BK8" i="2" l="1"/>
  <c r="BL9" i="2" s="1"/>
  <c r="N20" i="60"/>
  <c r="G26" i="60"/>
  <c r="H10" i="60"/>
  <c r="H5" i="60"/>
  <c r="H4" i="60"/>
  <c r="H26" i="60" s="1"/>
  <c r="F72" i="60"/>
  <c r="L63" i="60"/>
  <c r="F62" i="60"/>
  <c r="L55" i="60"/>
  <c r="E55" i="60"/>
  <c r="H53" i="60"/>
  <c r="P52" i="60"/>
  <c r="P56" i="60" s="1"/>
  <c r="L52" i="60"/>
  <c r="L56" i="60" s="1"/>
  <c r="E52" i="60"/>
  <c r="U49" i="60"/>
  <c r="E48" i="60"/>
  <c r="G42" i="60"/>
  <c r="T41" i="60"/>
  <c r="S41" i="60"/>
  <c r="S35" i="60"/>
  <c r="K34" i="60"/>
  <c r="K35" i="60" s="1"/>
  <c r="G33" i="60"/>
  <c r="G37" i="60" s="1"/>
  <c r="V30" i="60"/>
  <c r="AB28" i="60"/>
  <c r="AB29" i="60" s="1"/>
  <c r="N25" i="60"/>
  <c r="X21" i="60"/>
  <c r="I20" i="60"/>
  <c r="N19" i="60"/>
  <c r="N21" i="60" s="1"/>
  <c r="N27" i="60" s="1"/>
  <c r="G39" i="60" s="1"/>
  <c r="G44" i="60" s="1"/>
  <c r="I19" i="60"/>
  <c r="Y18" i="60"/>
  <c r="Z18" i="60" s="1"/>
  <c r="I18" i="60"/>
  <c r="R17" i="60"/>
  <c r="R18" i="60" s="1"/>
  <c r="N17" i="60"/>
  <c r="I17" i="60"/>
  <c r="I16" i="60"/>
  <c r="I15" i="60"/>
  <c r="AG14" i="60"/>
  <c r="I14" i="60"/>
  <c r="S13" i="60"/>
  <c r="I13" i="60"/>
  <c r="Q11" i="60"/>
  <c r="I11" i="60"/>
  <c r="N10" i="60"/>
  <c r="I10" i="60"/>
  <c r="I9" i="60"/>
  <c r="I8" i="60"/>
  <c r="R7" i="60"/>
  <c r="I7" i="60"/>
  <c r="U6" i="60"/>
  <c r="R6" i="60"/>
  <c r="I6" i="60"/>
  <c r="I5" i="60"/>
  <c r="B5" i="60"/>
  <c r="S4" i="60"/>
  <c r="R4" i="60"/>
  <c r="I4" i="60"/>
  <c r="B4" i="60"/>
  <c r="BJ5" i="2"/>
  <c r="BJ4" i="2"/>
  <c r="BJ8" i="2" l="1"/>
  <c r="BK9" i="2" s="1"/>
  <c r="J26" i="60"/>
  <c r="BJ6" i="2"/>
  <c r="G4" i="59"/>
  <c r="G5" i="59"/>
  <c r="G14" i="59"/>
  <c r="G10" i="59"/>
  <c r="H7" i="59" l="1"/>
  <c r="H4" i="59"/>
  <c r="F72" i="59"/>
  <c r="L63" i="59"/>
  <c r="F62" i="59"/>
  <c r="L55" i="59"/>
  <c r="E55" i="59"/>
  <c r="H53" i="59"/>
  <c r="P52" i="59"/>
  <c r="P56" i="59" s="1"/>
  <c r="L52" i="59"/>
  <c r="L56" i="59" s="1"/>
  <c r="E52" i="59"/>
  <c r="U49" i="59"/>
  <c r="E48" i="59"/>
  <c r="G42" i="59"/>
  <c r="G44" i="59" s="1"/>
  <c r="T41" i="59"/>
  <c r="S41" i="59"/>
  <c r="G37" i="59"/>
  <c r="S35" i="59"/>
  <c r="K34" i="59"/>
  <c r="K35" i="59" s="1"/>
  <c r="G26" i="59" s="1"/>
  <c r="G33" i="59"/>
  <c r="V30" i="59"/>
  <c r="AB28" i="59"/>
  <c r="AB29" i="59" s="1"/>
  <c r="H26" i="59"/>
  <c r="N25" i="59"/>
  <c r="X21" i="59"/>
  <c r="N20" i="59"/>
  <c r="I20" i="59"/>
  <c r="N19" i="59"/>
  <c r="N21" i="59" s="1"/>
  <c r="N27" i="59" s="1"/>
  <c r="G39" i="59" s="1"/>
  <c r="I19" i="59"/>
  <c r="Z18" i="59"/>
  <c r="Y18" i="59"/>
  <c r="I18" i="59"/>
  <c r="R17" i="59"/>
  <c r="R18" i="59" s="1"/>
  <c r="N17" i="59"/>
  <c r="I17" i="59"/>
  <c r="I16" i="59"/>
  <c r="I15" i="59"/>
  <c r="AG14" i="59"/>
  <c r="I14" i="59"/>
  <c r="S13" i="59"/>
  <c r="I13" i="59"/>
  <c r="Q11" i="59"/>
  <c r="I11" i="59"/>
  <c r="N10" i="59"/>
  <c r="I10" i="59"/>
  <c r="I9" i="59"/>
  <c r="I8" i="59"/>
  <c r="R7" i="59"/>
  <c r="I7" i="59"/>
  <c r="U6" i="59"/>
  <c r="R6" i="59"/>
  <c r="I6" i="59"/>
  <c r="I5" i="59"/>
  <c r="B5" i="59"/>
  <c r="S4" i="59"/>
  <c r="R4" i="59" s="1"/>
  <c r="I4" i="59"/>
  <c r="B4" i="59"/>
  <c r="BI7" i="2"/>
  <c r="BI6" i="2"/>
  <c r="BI5" i="2"/>
  <c r="BI4" i="2"/>
  <c r="G4" i="58"/>
  <c r="BI8" i="2" l="1"/>
  <c r="BJ9" i="2" s="1"/>
  <c r="J26" i="59"/>
  <c r="K35" i="58"/>
  <c r="G7" i="58" s="1"/>
  <c r="K34" i="58"/>
  <c r="F72" i="58"/>
  <c r="L63" i="58"/>
  <c r="F62" i="58"/>
  <c r="L55" i="58"/>
  <c r="E55" i="58"/>
  <c r="H53" i="58"/>
  <c r="P52" i="58"/>
  <c r="P56" i="58" s="1"/>
  <c r="L52" i="58"/>
  <c r="L56" i="58" s="1"/>
  <c r="E52" i="58"/>
  <c r="U49" i="58"/>
  <c r="E48" i="58"/>
  <c r="G42" i="58"/>
  <c r="T41" i="58"/>
  <c r="S41" i="58"/>
  <c r="S35" i="58"/>
  <c r="G33" i="58"/>
  <c r="G37" i="58" s="1"/>
  <c r="V30" i="58"/>
  <c r="AB28" i="58"/>
  <c r="AB29" i="58" s="1"/>
  <c r="N25" i="58"/>
  <c r="X21" i="58"/>
  <c r="N20" i="58"/>
  <c r="I20" i="58"/>
  <c r="N19" i="58"/>
  <c r="N21" i="58" s="1"/>
  <c r="N27" i="58" s="1"/>
  <c r="G39" i="58" s="1"/>
  <c r="I19" i="58"/>
  <c r="Y18" i="58"/>
  <c r="Z18" i="58" s="1"/>
  <c r="I18" i="58"/>
  <c r="R17" i="58"/>
  <c r="R18" i="58" s="1"/>
  <c r="N17" i="58"/>
  <c r="I17" i="58"/>
  <c r="I16" i="58"/>
  <c r="I15" i="58"/>
  <c r="AG14" i="58"/>
  <c r="I14" i="58"/>
  <c r="S13" i="58"/>
  <c r="I13" i="58"/>
  <c r="Q11" i="58"/>
  <c r="I11" i="58"/>
  <c r="N10" i="58"/>
  <c r="I10" i="58"/>
  <c r="I9" i="58"/>
  <c r="I8" i="58"/>
  <c r="R7" i="58"/>
  <c r="I7" i="58"/>
  <c r="U6" i="58"/>
  <c r="R6" i="58"/>
  <c r="I6" i="58"/>
  <c r="I5" i="58"/>
  <c r="B5" i="58"/>
  <c r="S4" i="58"/>
  <c r="R4" i="58" s="1"/>
  <c r="I4" i="58"/>
  <c r="H26" i="58"/>
  <c r="B4" i="58"/>
  <c r="BH7" i="2"/>
  <c r="G4" i="57"/>
  <c r="BI9" i="2" l="1"/>
  <c r="G26" i="58"/>
  <c r="J26" i="58" s="1"/>
  <c r="G44" i="58"/>
  <c r="G5" i="57"/>
  <c r="H5" i="57"/>
  <c r="G7" i="57" l="1"/>
  <c r="H4" i="57"/>
  <c r="H26" i="57" s="1"/>
  <c r="F72" i="57"/>
  <c r="L63" i="57"/>
  <c r="F62" i="57"/>
  <c r="L55" i="57"/>
  <c r="E55" i="57"/>
  <c r="H53" i="57"/>
  <c r="P52" i="57"/>
  <c r="P56" i="57" s="1"/>
  <c r="L52" i="57"/>
  <c r="L56" i="57" s="1"/>
  <c r="E52" i="57"/>
  <c r="U49" i="57"/>
  <c r="E48" i="57"/>
  <c r="G42" i="57"/>
  <c r="T41" i="57"/>
  <c r="S41" i="57"/>
  <c r="S35" i="57"/>
  <c r="G33" i="57"/>
  <c r="G37" i="57" s="1"/>
  <c r="V30" i="57"/>
  <c r="AB28" i="57"/>
  <c r="AB29" i="57" s="1"/>
  <c r="G26" i="57"/>
  <c r="BH6" i="2" s="1"/>
  <c r="BH8" i="2" s="1"/>
  <c r="N25" i="57"/>
  <c r="X21" i="57"/>
  <c r="N20" i="57"/>
  <c r="I20" i="57"/>
  <c r="N19" i="57"/>
  <c r="N21" i="57" s="1"/>
  <c r="I19" i="57"/>
  <c r="Y18" i="57"/>
  <c r="Z18" i="57" s="1"/>
  <c r="I18" i="57"/>
  <c r="R17" i="57"/>
  <c r="R18" i="57" s="1"/>
  <c r="N17" i="57"/>
  <c r="I17" i="57"/>
  <c r="I16" i="57"/>
  <c r="I15" i="57"/>
  <c r="AG14" i="57"/>
  <c r="I14" i="57"/>
  <c r="S13" i="57"/>
  <c r="I13" i="57"/>
  <c r="Q11" i="57"/>
  <c r="I11" i="57"/>
  <c r="I10" i="57"/>
  <c r="I9" i="57"/>
  <c r="I8" i="57"/>
  <c r="R7" i="57"/>
  <c r="I7" i="57"/>
  <c r="U6" i="57"/>
  <c r="R6" i="57"/>
  <c r="I6" i="57"/>
  <c r="N10" i="57"/>
  <c r="I5" i="57"/>
  <c r="B5" i="57"/>
  <c r="S4" i="57"/>
  <c r="R4" i="57" s="1"/>
  <c r="I4" i="57"/>
  <c r="B4" i="57"/>
  <c r="F71" i="56"/>
  <c r="F61" i="56"/>
  <c r="BG7" i="2"/>
  <c r="BG8" i="2" s="1"/>
  <c r="BG6" i="2"/>
  <c r="L62" i="56"/>
  <c r="E54" i="56"/>
  <c r="E51" i="56"/>
  <c r="G4" i="56"/>
  <c r="G5" i="56"/>
  <c r="J26" i="57" l="1"/>
  <c r="N27" i="57"/>
  <c r="G39" i="57" s="1"/>
  <c r="G44" i="57" s="1"/>
  <c r="E47" i="56"/>
  <c r="H25" i="56"/>
  <c r="G25" i="55"/>
  <c r="BF6" i="2" s="1"/>
  <c r="I5" i="56"/>
  <c r="I14" i="56"/>
  <c r="P55" i="56"/>
  <c r="L54" i="56"/>
  <c r="H52" i="56"/>
  <c r="P51" i="56"/>
  <c r="L51" i="56"/>
  <c r="L55" i="56" s="1"/>
  <c r="U48" i="56"/>
  <c r="G41" i="56"/>
  <c r="T40" i="56"/>
  <c r="S40" i="56"/>
  <c r="S34" i="56"/>
  <c r="G32" i="56"/>
  <c r="G36" i="56" s="1"/>
  <c r="V29" i="56"/>
  <c r="AB28" i="56"/>
  <c r="AB27" i="56"/>
  <c r="N24" i="56"/>
  <c r="X20" i="56"/>
  <c r="N19" i="56"/>
  <c r="I19" i="56"/>
  <c r="N18" i="56"/>
  <c r="N20" i="56" s="1"/>
  <c r="I18" i="56"/>
  <c r="Y17" i="56"/>
  <c r="Z17" i="56" s="1"/>
  <c r="R17" i="56"/>
  <c r="I17" i="56"/>
  <c r="R16" i="56"/>
  <c r="N16" i="56"/>
  <c r="I16" i="56"/>
  <c r="AG13" i="56"/>
  <c r="I13" i="56"/>
  <c r="S12" i="56"/>
  <c r="Q11" i="56"/>
  <c r="I11" i="56"/>
  <c r="N10" i="56"/>
  <c r="N26" i="56" s="1"/>
  <c r="G38" i="56" s="1"/>
  <c r="I10" i="56"/>
  <c r="I9" i="56"/>
  <c r="I8" i="56"/>
  <c r="R7" i="56"/>
  <c r="I7" i="56"/>
  <c r="U6" i="56"/>
  <c r="R6" i="56"/>
  <c r="I6" i="56"/>
  <c r="N5" i="56"/>
  <c r="B5" i="56"/>
  <c r="S4" i="56"/>
  <c r="R4" i="56"/>
  <c r="B4" i="56"/>
  <c r="BF7" i="2"/>
  <c r="BF5" i="2"/>
  <c r="BF4" i="2"/>
  <c r="G5" i="55"/>
  <c r="G4" i="55"/>
  <c r="G12" i="55"/>
  <c r="BF8" i="2" l="1"/>
  <c r="I15" i="56"/>
  <c r="G43" i="56"/>
  <c r="I4" i="56"/>
  <c r="G13" i="55"/>
  <c r="G14" i="55"/>
  <c r="N5" i="55"/>
  <c r="N10" i="55" s="1"/>
  <c r="H5" i="55"/>
  <c r="H4" i="55"/>
  <c r="L54" i="55"/>
  <c r="H52" i="55"/>
  <c r="P51" i="55"/>
  <c r="P55" i="55" s="1"/>
  <c r="L51" i="55"/>
  <c r="L55" i="55" s="1"/>
  <c r="U48" i="55"/>
  <c r="G41" i="55"/>
  <c r="T40" i="55"/>
  <c r="S40" i="55"/>
  <c r="S34" i="55"/>
  <c r="G32" i="55"/>
  <c r="G36" i="55" s="1"/>
  <c r="V29" i="55"/>
  <c r="AB27" i="55"/>
  <c r="AB28" i="55" s="1"/>
  <c r="N24" i="55"/>
  <c r="X20" i="55"/>
  <c r="N19" i="55"/>
  <c r="I19" i="55"/>
  <c r="N18" i="55"/>
  <c r="I18" i="55"/>
  <c r="Y17" i="55"/>
  <c r="Z17" i="55" s="1"/>
  <c r="I17" i="55"/>
  <c r="R16" i="55"/>
  <c r="R17" i="55" s="1"/>
  <c r="N16" i="55"/>
  <c r="I16" i="55"/>
  <c r="I15" i="55"/>
  <c r="I14" i="55"/>
  <c r="AG13" i="55"/>
  <c r="I13" i="55"/>
  <c r="S12" i="55"/>
  <c r="I12" i="55"/>
  <c r="Q11" i="55"/>
  <c r="I11" i="55"/>
  <c r="I10" i="55"/>
  <c r="I9" i="55"/>
  <c r="I8" i="55"/>
  <c r="R7" i="55"/>
  <c r="I7" i="55"/>
  <c r="U6" i="55"/>
  <c r="R6" i="55"/>
  <c r="I6" i="55"/>
  <c r="H25" i="55"/>
  <c r="B5" i="55"/>
  <c r="S4" i="55"/>
  <c r="R4" i="55" s="1"/>
  <c r="I4" i="55"/>
  <c r="B4" i="55"/>
  <c r="P51" i="54"/>
  <c r="P55" i="54"/>
  <c r="L55" i="54"/>
  <c r="L51" i="54"/>
  <c r="L54" i="54"/>
  <c r="BG9" i="2" l="1"/>
  <c r="BH9" i="2"/>
  <c r="J25" i="55"/>
  <c r="N20" i="55"/>
  <c r="N26" i="55" s="1"/>
  <c r="G38" i="55" s="1"/>
  <c r="G43" i="55" s="1"/>
  <c r="I5" i="55"/>
  <c r="N5" i="54"/>
  <c r="N10" i="54" s="1"/>
  <c r="BD7" i="2"/>
  <c r="BE5" i="2"/>
  <c r="BE4" i="2"/>
  <c r="BE6" i="2"/>
  <c r="G5" i="54"/>
  <c r="G4" i="54"/>
  <c r="G25" i="54"/>
  <c r="J25" i="54" s="1"/>
  <c r="H52" i="54"/>
  <c r="U48" i="54"/>
  <c r="G41" i="54"/>
  <c r="T40" i="54"/>
  <c r="S40" i="54"/>
  <c r="S34" i="54"/>
  <c r="G32" i="54"/>
  <c r="G36" i="54" s="1"/>
  <c r="V29" i="54"/>
  <c r="AB27" i="54"/>
  <c r="AB28" i="54" s="1"/>
  <c r="H25" i="54"/>
  <c r="N24" i="54"/>
  <c r="X20" i="54"/>
  <c r="N19" i="54"/>
  <c r="I19" i="54"/>
  <c r="N18" i="54"/>
  <c r="N20" i="54" s="1"/>
  <c r="I18" i="54"/>
  <c r="Y17" i="54"/>
  <c r="Z17" i="54" s="1"/>
  <c r="I17" i="54"/>
  <c r="R16" i="54"/>
  <c r="R17" i="54" s="1"/>
  <c r="N16" i="54"/>
  <c r="I16" i="54"/>
  <c r="I15" i="54"/>
  <c r="I14" i="54"/>
  <c r="AG13" i="54"/>
  <c r="I13" i="54"/>
  <c r="S12" i="54"/>
  <c r="I12" i="54"/>
  <c r="Q11" i="54"/>
  <c r="I11" i="54"/>
  <c r="I10" i="54"/>
  <c r="I9" i="54"/>
  <c r="I8" i="54"/>
  <c r="R7" i="54"/>
  <c r="I7" i="54"/>
  <c r="U6" i="54"/>
  <c r="R6" i="54"/>
  <c r="I6" i="54"/>
  <c r="I5" i="54"/>
  <c r="H5" i="54"/>
  <c r="B5" i="54"/>
  <c r="S4" i="54"/>
  <c r="R4" i="54"/>
  <c r="H4" i="54"/>
  <c r="I4" i="54" s="1"/>
  <c r="B4" i="54"/>
  <c r="N26" i="54" l="1"/>
  <c r="G38" i="54" s="1"/>
  <c r="BE7" i="2"/>
  <c r="BE8" i="2" s="1"/>
  <c r="BF9" i="2" s="1"/>
  <c r="G43" i="54"/>
  <c r="BD6" i="2" l="1"/>
  <c r="BD5" i="2"/>
  <c r="BD4" i="2"/>
  <c r="G4" i="53"/>
  <c r="G5" i="53"/>
  <c r="BD8" i="2" l="1"/>
  <c r="BE9" i="2" s="1"/>
  <c r="H5" i="53"/>
  <c r="H4" i="53"/>
  <c r="H52" i="53"/>
  <c r="U48" i="53"/>
  <c r="G41" i="53"/>
  <c r="G43" i="53" s="1"/>
  <c r="T40" i="53"/>
  <c r="S40" i="53"/>
  <c r="S34" i="53"/>
  <c r="G32" i="53"/>
  <c r="G36" i="53" s="1"/>
  <c r="V29" i="53"/>
  <c r="AB28" i="53"/>
  <c r="AB27" i="53"/>
  <c r="N24" i="53"/>
  <c r="X20" i="53"/>
  <c r="N20" i="53"/>
  <c r="N19" i="53"/>
  <c r="I19" i="53"/>
  <c r="N18" i="53"/>
  <c r="I18" i="53"/>
  <c r="Y17" i="53"/>
  <c r="Z17" i="53" s="1"/>
  <c r="I17" i="53"/>
  <c r="R16" i="53"/>
  <c r="R17" i="53" s="1"/>
  <c r="N16" i="53"/>
  <c r="I16" i="53"/>
  <c r="I15" i="53"/>
  <c r="I14" i="53"/>
  <c r="AG13" i="53"/>
  <c r="I13" i="53"/>
  <c r="S12" i="53"/>
  <c r="I12" i="53"/>
  <c r="Q11" i="53"/>
  <c r="I11" i="53"/>
  <c r="N10" i="53"/>
  <c r="N26" i="53" s="1"/>
  <c r="G38" i="53" s="1"/>
  <c r="I10" i="53"/>
  <c r="I9" i="53"/>
  <c r="I8" i="53"/>
  <c r="R7" i="53"/>
  <c r="I7" i="53"/>
  <c r="U6" i="53"/>
  <c r="R6" i="53"/>
  <c r="I6" i="53"/>
  <c r="I5" i="53"/>
  <c r="B5" i="53"/>
  <c r="S4" i="53"/>
  <c r="R4" i="53" s="1"/>
  <c r="H25" i="53"/>
  <c r="B4" i="53"/>
  <c r="BC4" i="2"/>
  <c r="BC5" i="2"/>
  <c r="BC7" i="2"/>
  <c r="I5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4" i="52"/>
  <c r="G5" i="52"/>
  <c r="G4" i="52"/>
  <c r="G25" i="52" s="1"/>
  <c r="BC6" i="2" s="1"/>
  <c r="BC8" i="2" l="1"/>
  <c r="I4" i="53"/>
  <c r="G25" i="53"/>
  <c r="J25" i="53" s="1"/>
  <c r="H52" i="52"/>
  <c r="U48" i="52"/>
  <c r="G41" i="52"/>
  <c r="T40" i="52"/>
  <c r="S40" i="52"/>
  <c r="S34" i="52"/>
  <c r="G32" i="52"/>
  <c r="G36" i="52" s="1"/>
  <c r="V29" i="52"/>
  <c r="AB27" i="52"/>
  <c r="AB28" i="52" s="1"/>
  <c r="N24" i="52"/>
  <c r="X20" i="52"/>
  <c r="N19" i="52"/>
  <c r="N18" i="52"/>
  <c r="N20" i="52" s="1"/>
  <c r="Y17" i="52"/>
  <c r="Z17" i="52" s="1"/>
  <c r="R16" i="52"/>
  <c r="R17" i="52" s="1"/>
  <c r="N16" i="52"/>
  <c r="AG13" i="52"/>
  <c r="S12" i="52"/>
  <c r="Q11" i="52"/>
  <c r="N10" i="52"/>
  <c r="R7" i="52"/>
  <c r="U6" i="52"/>
  <c r="R6" i="52"/>
  <c r="H5" i="52"/>
  <c r="B5" i="52"/>
  <c r="S4" i="52"/>
  <c r="R4" i="52" s="1"/>
  <c r="H4" i="52"/>
  <c r="H25" i="52" s="1"/>
  <c r="B4" i="52"/>
  <c r="BB5" i="2"/>
  <c r="BB4" i="2"/>
  <c r="BB7" i="2"/>
  <c r="BB6" i="2"/>
  <c r="G5" i="51"/>
  <c r="G25" i="51" s="1"/>
  <c r="G4" i="51"/>
  <c r="H52" i="51"/>
  <c r="T48" i="51"/>
  <c r="G41" i="51"/>
  <c r="S40" i="51"/>
  <c r="R40" i="51"/>
  <c r="G36" i="51"/>
  <c r="R34" i="51"/>
  <c r="G32" i="51"/>
  <c r="U29" i="51"/>
  <c r="AA27" i="51"/>
  <c r="AA28" i="51" s="1"/>
  <c r="M24" i="51"/>
  <c r="W20" i="51"/>
  <c r="M19" i="51"/>
  <c r="M18" i="51"/>
  <c r="M20" i="51" s="1"/>
  <c r="M26" i="51" s="1"/>
  <c r="G38" i="51" s="1"/>
  <c r="X17" i="51"/>
  <c r="Y17" i="51" s="1"/>
  <c r="Q16" i="51"/>
  <c r="Q17" i="51" s="1"/>
  <c r="M16" i="51"/>
  <c r="AF13" i="51"/>
  <c r="R12" i="51"/>
  <c r="P11" i="51"/>
  <c r="M10" i="51"/>
  <c r="Q7" i="51"/>
  <c r="T6" i="51"/>
  <c r="Q6" i="51"/>
  <c r="H5" i="51"/>
  <c r="B5" i="51"/>
  <c r="R4" i="51"/>
  <c r="Q4" i="51" s="1"/>
  <c r="H25" i="51"/>
  <c r="H4" i="51"/>
  <c r="B4" i="51"/>
  <c r="H52" i="50"/>
  <c r="T48" i="50"/>
  <c r="G41" i="50"/>
  <c r="S40" i="50"/>
  <c r="R40" i="50"/>
  <c r="R34" i="50"/>
  <c r="G32" i="50"/>
  <c r="G36" i="50" s="1"/>
  <c r="U29" i="50"/>
  <c r="AA27" i="50"/>
  <c r="AA28" i="50" s="1"/>
  <c r="M24" i="50"/>
  <c r="W20" i="50"/>
  <c r="M19" i="50"/>
  <c r="M18" i="50"/>
  <c r="M20" i="50" s="1"/>
  <c r="Y17" i="50"/>
  <c r="X17" i="50"/>
  <c r="Q16" i="50"/>
  <c r="Q17" i="50" s="1"/>
  <c r="M16" i="50"/>
  <c r="AF13" i="50"/>
  <c r="R12" i="50"/>
  <c r="P11" i="50"/>
  <c r="M10" i="50"/>
  <c r="Q7" i="50"/>
  <c r="T6" i="50"/>
  <c r="Q6" i="50"/>
  <c r="H5" i="50"/>
  <c r="G5" i="50"/>
  <c r="B5" i="50"/>
  <c r="R4" i="50"/>
  <c r="Q4" i="50"/>
  <c r="H4" i="50"/>
  <c r="H25" i="50" s="1"/>
  <c r="G4" i="50"/>
  <c r="G25" i="50" s="1"/>
  <c r="I25" i="50" s="1"/>
  <c r="B4" i="50"/>
  <c r="BD9" i="2" l="1"/>
  <c r="J25" i="52"/>
  <c r="N26" i="52"/>
  <c r="G38" i="52" s="1"/>
  <c r="G43" i="52" s="1"/>
  <c r="BB8" i="2"/>
  <c r="BC9" i="2" s="1"/>
  <c r="I25" i="51"/>
  <c r="G43" i="51"/>
  <c r="M26" i="50"/>
  <c r="G38" i="50" s="1"/>
  <c r="G43" i="50" s="1"/>
  <c r="BA6" i="2" l="1"/>
  <c r="AZ6" i="2"/>
  <c r="BA7" i="2"/>
  <c r="BA5" i="2"/>
  <c r="BA4" i="2"/>
  <c r="G25" i="49"/>
  <c r="H25" i="49"/>
  <c r="G4" i="49"/>
  <c r="G5" i="49"/>
  <c r="M19" i="49"/>
  <c r="AZ5" i="2"/>
  <c r="AZ4" i="2"/>
  <c r="H4" i="49"/>
  <c r="H5" i="49"/>
  <c r="H52" i="49"/>
  <c r="T48" i="49"/>
  <c r="G41" i="49"/>
  <c r="S40" i="49"/>
  <c r="R40" i="49"/>
  <c r="G36" i="49"/>
  <c r="R34" i="49"/>
  <c r="G32" i="49"/>
  <c r="U29" i="49"/>
  <c r="AA27" i="49"/>
  <c r="AA28" i="49" s="1"/>
  <c r="M24" i="49"/>
  <c r="W20" i="49"/>
  <c r="M18" i="49"/>
  <c r="X17" i="49"/>
  <c r="Y17" i="49" s="1"/>
  <c r="Q16" i="49"/>
  <c r="Q17" i="49" s="1"/>
  <c r="M16" i="49"/>
  <c r="AF13" i="49"/>
  <c r="R12" i="49"/>
  <c r="P11" i="49"/>
  <c r="M10" i="49"/>
  <c r="Q7" i="49"/>
  <c r="T6" i="49"/>
  <c r="Q6" i="49"/>
  <c r="B5" i="49"/>
  <c r="R4" i="49"/>
  <c r="Q4" i="49" s="1"/>
  <c r="B4" i="49"/>
  <c r="AY5" i="2"/>
  <c r="AY6" i="2"/>
  <c r="G4" i="48"/>
  <c r="G5" i="48"/>
  <c r="BG17" i="2"/>
  <c r="BA8" i="2" l="1"/>
  <c r="M20" i="49"/>
  <c r="M26" i="49" s="1"/>
  <c r="G38" i="49" s="1"/>
  <c r="G43" i="49" s="1"/>
  <c r="AZ8" i="2"/>
  <c r="I25" i="49"/>
  <c r="AY8" i="2"/>
  <c r="BA9" i="2" l="1"/>
  <c r="BB9" i="2"/>
  <c r="AZ9" i="2"/>
  <c r="H5" i="48"/>
  <c r="H4" i="48"/>
  <c r="H52" i="48"/>
  <c r="T48" i="48"/>
  <c r="G41" i="48"/>
  <c r="S40" i="48"/>
  <c r="R40" i="48"/>
  <c r="R34" i="48"/>
  <c r="G32" i="48"/>
  <c r="G36" i="48" s="1"/>
  <c r="U29" i="48"/>
  <c r="AA27" i="48"/>
  <c r="AA28" i="48" s="1"/>
  <c r="M24" i="48"/>
  <c r="W20" i="48"/>
  <c r="M19" i="48"/>
  <c r="M20" i="48" s="1"/>
  <c r="M18" i="48"/>
  <c r="Y17" i="48"/>
  <c r="X17" i="48"/>
  <c r="Q16" i="48"/>
  <c r="Q17" i="48" s="1"/>
  <c r="M16" i="48"/>
  <c r="AF13" i="48"/>
  <c r="R12" i="48"/>
  <c r="P11" i="48"/>
  <c r="M10" i="48"/>
  <c r="Q7" i="48"/>
  <c r="T6" i="48"/>
  <c r="Q6" i="48"/>
  <c r="B5" i="48"/>
  <c r="R4" i="48"/>
  <c r="Q4" i="48" s="1"/>
  <c r="H25" i="48"/>
  <c r="G25" i="48"/>
  <c r="B4" i="48"/>
  <c r="H52" i="47"/>
  <c r="AX4" i="2"/>
  <c r="AX5" i="2"/>
  <c r="G25" i="47"/>
  <c r="AX6" i="2" s="1"/>
  <c r="G4" i="47"/>
  <c r="G5" i="47"/>
  <c r="M26" i="48" l="1"/>
  <c r="G38" i="48" s="1"/>
  <c r="I25" i="48"/>
  <c r="G43" i="48"/>
  <c r="T48" i="47"/>
  <c r="G41" i="47"/>
  <c r="S40" i="47"/>
  <c r="R40" i="47"/>
  <c r="G36" i="47"/>
  <c r="R34" i="47"/>
  <c r="G32" i="47"/>
  <c r="U29" i="47"/>
  <c r="AA27" i="47"/>
  <c r="AA28" i="47" s="1"/>
  <c r="M24" i="47"/>
  <c r="W20" i="47"/>
  <c r="M19" i="47"/>
  <c r="M18" i="47"/>
  <c r="M20" i="47" s="1"/>
  <c r="X17" i="47"/>
  <c r="Y17" i="47" s="1"/>
  <c r="Q17" i="47"/>
  <c r="Q16" i="47"/>
  <c r="M16" i="47"/>
  <c r="AF13" i="47"/>
  <c r="R12" i="47"/>
  <c r="P11" i="47"/>
  <c r="M10" i="47"/>
  <c r="M26" i="47" s="1"/>
  <c r="G38" i="47" s="1"/>
  <c r="G43" i="47" s="1"/>
  <c r="Q7" i="47"/>
  <c r="T6" i="47"/>
  <c r="Q6" i="47"/>
  <c r="H5" i="47"/>
  <c r="B5" i="47"/>
  <c r="R4" i="47"/>
  <c r="Q4" i="47"/>
  <c r="H25" i="47"/>
  <c r="H4" i="47"/>
  <c r="B4" i="47"/>
  <c r="AX8" i="2"/>
  <c r="AY9" i="2" s="1"/>
  <c r="AW5" i="2"/>
  <c r="I25" i="47" l="1"/>
  <c r="G5" i="46"/>
  <c r="G4" i="46"/>
  <c r="G25" i="46"/>
  <c r="AW6" i="2" s="1"/>
  <c r="AW8" i="2" s="1"/>
  <c r="T48" i="46"/>
  <c r="G41" i="46"/>
  <c r="S40" i="46"/>
  <c r="R40" i="46"/>
  <c r="G36" i="46"/>
  <c r="R34" i="46"/>
  <c r="G32" i="46"/>
  <c r="U29" i="46"/>
  <c r="AA27" i="46"/>
  <c r="AA28" i="46" s="1"/>
  <c r="H25" i="46"/>
  <c r="M24" i="46"/>
  <c r="W20" i="46"/>
  <c r="M19" i="46"/>
  <c r="M18" i="46"/>
  <c r="M20" i="46" s="1"/>
  <c r="M26" i="46" s="1"/>
  <c r="G38" i="46" s="1"/>
  <c r="X17" i="46"/>
  <c r="Y17" i="46" s="1"/>
  <c r="Q16" i="46"/>
  <c r="Q17" i="46" s="1"/>
  <c r="M16" i="46"/>
  <c r="AF13" i="46"/>
  <c r="R12" i="46"/>
  <c r="P11" i="46"/>
  <c r="M10" i="46"/>
  <c r="Q7" i="46"/>
  <c r="T6" i="46"/>
  <c r="Q6" i="46"/>
  <c r="H5" i="46"/>
  <c r="B5" i="46"/>
  <c r="R4" i="46"/>
  <c r="Q4" i="46"/>
  <c r="H4" i="46"/>
  <c r="B4" i="46"/>
  <c r="AV8" i="2"/>
  <c r="G4" i="45"/>
  <c r="G5" i="45"/>
  <c r="AW9" i="2" l="1"/>
  <c r="AX9" i="2"/>
  <c r="I25" i="46"/>
  <c r="G43" i="46"/>
  <c r="AV9" i="2"/>
  <c r="H4" i="45"/>
  <c r="T48" i="45"/>
  <c r="G41" i="45"/>
  <c r="S40" i="45"/>
  <c r="R40" i="45"/>
  <c r="R34" i="45"/>
  <c r="G32" i="45"/>
  <c r="G36" i="45" s="1"/>
  <c r="U29" i="45"/>
  <c r="AA27" i="45"/>
  <c r="AA28" i="45" s="1"/>
  <c r="G25" i="45"/>
  <c r="M24" i="45"/>
  <c r="W20" i="45"/>
  <c r="M19" i="45"/>
  <c r="M18" i="45"/>
  <c r="M20" i="45" s="1"/>
  <c r="X17" i="45"/>
  <c r="Y17" i="45" s="1"/>
  <c r="Q16" i="45"/>
  <c r="Q17" i="45" s="1"/>
  <c r="M16" i="45"/>
  <c r="AF13" i="45"/>
  <c r="R12" i="45"/>
  <c r="P11" i="45"/>
  <c r="M10" i="45"/>
  <c r="Q7" i="45"/>
  <c r="T6" i="45"/>
  <c r="Q6" i="45"/>
  <c r="H25" i="45"/>
  <c r="B5" i="45"/>
  <c r="R4" i="45"/>
  <c r="Q4" i="45" s="1"/>
  <c r="B4" i="45"/>
  <c r="AU8" i="2"/>
  <c r="AU9" i="2" s="1"/>
  <c r="G4" i="44"/>
  <c r="I25" i="45" l="1"/>
  <c r="M26" i="45"/>
  <c r="G38" i="45" s="1"/>
  <c r="G43" i="45" s="1"/>
  <c r="G25" i="44"/>
  <c r="T48" i="44"/>
  <c r="G41" i="44"/>
  <c r="S40" i="44"/>
  <c r="R40" i="44"/>
  <c r="R34" i="44"/>
  <c r="G32" i="44"/>
  <c r="G36" i="44" s="1"/>
  <c r="U29" i="44"/>
  <c r="AA27" i="44"/>
  <c r="AA28" i="44" s="1"/>
  <c r="M24" i="44"/>
  <c r="W20" i="44"/>
  <c r="M19" i="44"/>
  <c r="M18" i="44"/>
  <c r="M20" i="44" s="1"/>
  <c r="X17" i="44"/>
  <c r="Y17" i="44" s="1"/>
  <c r="Q16" i="44"/>
  <c r="Q17" i="44" s="1"/>
  <c r="M16" i="44"/>
  <c r="AF13" i="44"/>
  <c r="R12" i="44"/>
  <c r="P11" i="44"/>
  <c r="M10" i="44"/>
  <c r="Q7" i="44"/>
  <c r="T6" i="44"/>
  <c r="Q6" i="44"/>
  <c r="H5" i="44"/>
  <c r="B5" i="44"/>
  <c r="R4" i="44"/>
  <c r="Q4" i="44" s="1"/>
  <c r="H25" i="44"/>
  <c r="H4" i="44"/>
  <c r="B4" i="44"/>
  <c r="AT8" i="2"/>
  <c r="AT6" i="2"/>
  <c r="G4" i="43"/>
  <c r="G5" i="43"/>
  <c r="G25" i="43" s="1"/>
  <c r="H4" i="43"/>
  <c r="H25" i="43" s="1"/>
  <c r="T48" i="43"/>
  <c r="G41" i="43"/>
  <c r="S40" i="43"/>
  <c r="R40" i="43"/>
  <c r="R34" i="43"/>
  <c r="G32" i="43"/>
  <c r="G36" i="43" s="1"/>
  <c r="U29" i="43"/>
  <c r="AA27" i="43"/>
  <c r="AA28" i="43" s="1"/>
  <c r="M24" i="43"/>
  <c r="W20" i="43"/>
  <c r="M19" i="43"/>
  <c r="M18" i="43"/>
  <c r="M20" i="43" s="1"/>
  <c r="M26" i="43" s="1"/>
  <c r="G38" i="43" s="1"/>
  <c r="X17" i="43"/>
  <c r="Y17" i="43" s="1"/>
  <c r="Q16" i="43"/>
  <c r="Q17" i="43" s="1"/>
  <c r="M16" i="43"/>
  <c r="AF13" i="43"/>
  <c r="R12" i="43"/>
  <c r="P11" i="43"/>
  <c r="M10" i="43"/>
  <c r="Q7" i="43"/>
  <c r="T6" i="43"/>
  <c r="Q6" i="43"/>
  <c r="B5" i="43"/>
  <c r="R4" i="43"/>
  <c r="Q4" i="43" s="1"/>
  <c r="B4" i="43"/>
  <c r="AS6" i="2"/>
  <c r="AS5" i="2"/>
  <c r="AS4" i="2"/>
  <c r="G4" i="42"/>
  <c r="AS8" i="2" l="1"/>
  <c r="AS9" i="2" s="1"/>
  <c r="I25" i="44"/>
  <c r="M26" i="44"/>
  <c r="G38" i="44" s="1"/>
  <c r="G43" i="44" s="1"/>
  <c r="G43" i="43"/>
  <c r="I25" i="43"/>
  <c r="G25" i="42"/>
  <c r="H25" i="42"/>
  <c r="M16" i="42"/>
  <c r="T48" i="42"/>
  <c r="G41" i="42"/>
  <c r="S40" i="42"/>
  <c r="R40" i="42"/>
  <c r="R34" i="42"/>
  <c r="G32" i="42"/>
  <c r="G36" i="42" s="1"/>
  <c r="U29" i="42"/>
  <c r="AA27" i="42"/>
  <c r="AA28" i="42" s="1"/>
  <c r="M24" i="42"/>
  <c r="W20" i="42"/>
  <c r="M20" i="42"/>
  <c r="M19" i="42"/>
  <c r="X17" i="42"/>
  <c r="Y17" i="42" s="1"/>
  <c r="M18" i="42"/>
  <c r="Q16" i="42"/>
  <c r="Q17" i="42" s="1"/>
  <c r="AF13" i="42"/>
  <c r="R12" i="42"/>
  <c r="P11" i="42"/>
  <c r="M10" i="42"/>
  <c r="Q7" i="42"/>
  <c r="T6" i="42"/>
  <c r="Q6" i="42"/>
  <c r="H5" i="42"/>
  <c r="B5" i="42"/>
  <c r="R4" i="42"/>
  <c r="Q4" i="42" s="1"/>
  <c r="H4" i="42"/>
  <c r="B4" i="42"/>
  <c r="AR6" i="2"/>
  <c r="G5" i="41"/>
  <c r="G4" i="41"/>
  <c r="G25" i="41"/>
  <c r="H10" i="41"/>
  <c r="H5" i="41"/>
  <c r="H4" i="41"/>
  <c r="H25" i="41" s="1"/>
  <c r="T48" i="41"/>
  <c r="G41" i="41"/>
  <c r="S40" i="41"/>
  <c r="R40" i="41"/>
  <c r="G36" i="41"/>
  <c r="R34" i="41"/>
  <c r="G32" i="41"/>
  <c r="U29" i="41"/>
  <c r="AA27" i="41"/>
  <c r="AA28" i="41" s="1"/>
  <c r="M23" i="41"/>
  <c r="W20" i="41"/>
  <c r="M18" i="41"/>
  <c r="X17" i="41"/>
  <c r="Y17" i="41" s="1"/>
  <c r="M17" i="41"/>
  <c r="M19" i="41" s="1"/>
  <c r="Q16" i="41"/>
  <c r="Q17" i="41" s="1"/>
  <c r="M15" i="41"/>
  <c r="AF13" i="41"/>
  <c r="R12" i="41"/>
  <c r="P11" i="41"/>
  <c r="M10" i="41"/>
  <c r="Q7" i="41"/>
  <c r="T6" i="41"/>
  <c r="Q6" i="41"/>
  <c r="B5" i="41"/>
  <c r="R4" i="41"/>
  <c r="Q4" i="41" s="1"/>
  <c r="B4" i="41"/>
  <c r="AQ9" i="2"/>
  <c r="AQ8" i="2"/>
  <c r="AT9" i="2" l="1"/>
  <c r="I25" i="42"/>
  <c r="M26" i="42"/>
  <c r="G38" i="42" s="1"/>
  <c r="G43" i="42" s="1"/>
  <c r="AR8" i="2"/>
  <c r="AR9" i="2" s="1"/>
  <c r="I25" i="41"/>
  <c r="M25" i="41"/>
  <c r="G38" i="41" s="1"/>
  <c r="G43" i="41"/>
  <c r="G5" i="40"/>
  <c r="G4" i="40"/>
  <c r="G10" i="40" l="1"/>
  <c r="H10" i="40"/>
  <c r="H25" i="40" s="1"/>
  <c r="H5" i="40"/>
  <c r="H4" i="40"/>
  <c r="T48" i="40"/>
  <c r="G41" i="40"/>
  <c r="G43" i="40" s="1"/>
  <c r="S40" i="40"/>
  <c r="R40" i="40"/>
  <c r="R34" i="40"/>
  <c r="G32" i="40"/>
  <c r="G36" i="40" s="1"/>
  <c r="U29" i="40"/>
  <c r="AA28" i="40"/>
  <c r="AA27" i="40"/>
  <c r="M25" i="40"/>
  <c r="G38" i="40" s="1"/>
  <c r="M23" i="40"/>
  <c r="W20" i="40"/>
  <c r="M19" i="40"/>
  <c r="M18" i="40"/>
  <c r="Y17" i="40"/>
  <c r="X17" i="40"/>
  <c r="M17" i="40"/>
  <c r="Q16" i="40"/>
  <c r="Q17" i="40" s="1"/>
  <c r="M15" i="40"/>
  <c r="AF13" i="40"/>
  <c r="R12" i="40"/>
  <c r="P11" i="40"/>
  <c r="M10" i="40"/>
  <c r="Q7" i="40"/>
  <c r="T6" i="40"/>
  <c r="Q6" i="40"/>
  <c r="B5" i="40"/>
  <c r="R4" i="40"/>
  <c r="Q4" i="40" s="1"/>
  <c r="G25" i="40"/>
  <c r="B4" i="40"/>
  <c r="G10" i="39"/>
  <c r="G5" i="39"/>
  <c r="G4" i="39"/>
  <c r="AP8" i="2"/>
  <c r="AP9" i="2" s="1"/>
  <c r="M17" i="39"/>
  <c r="H10" i="39"/>
  <c r="T48" i="39"/>
  <c r="G41" i="39"/>
  <c r="S40" i="39"/>
  <c r="R40" i="39"/>
  <c r="R34" i="39"/>
  <c r="G32" i="39"/>
  <c r="G36" i="39" s="1"/>
  <c r="U29" i="39"/>
  <c r="AA28" i="39"/>
  <c r="AA27" i="39"/>
  <c r="H25" i="39"/>
  <c r="G25" i="39"/>
  <c r="M23" i="39"/>
  <c r="W20" i="39"/>
  <c r="M19" i="39"/>
  <c r="M18" i="39"/>
  <c r="X17" i="39"/>
  <c r="Y17" i="39" s="1"/>
  <c r="Q16" i="39"/>
  <c r="Q17" i="39" s="1"/>
  <c r="M15" i="39"/>
  <c r="AF13" i="39"/>
  <c r="R12" i="39"/>
  <c r="P11" i="39"/>
  <c r="M10" i="39"/>
  <c r="M25" i="39" s="1"/>
  <c r="G38" i="39" s="1"/>
  <c r="Q7" i="39"/>
  <c r="T6" i="39"/>
  <c r="Q6" i="39"/>
  <c r="B5" i="39"/>
  <c r="R4" i="39"/>
  <c r="Q4" i="39" s="1"/>
  <c r="B4" i="39"/>
  <c r="M17" i="37"/>
  <c r="AO9" i="2"/>
  <c r="AO8" i="2"/>
  <c r="G10" i="37"/>
  <c r="AN9" i="2"/>
  <c r="I25" i="40" l="1"/>
  <c r="G43" i="39"/>
  <c r="I25" i="39"/>
  <c r="AN8" i="2"/>
  <c r="G25" i="37"/>
  <c r="H25" i="37"/>
  <c r="T48" i="37"/>
  <c r="G41" i="37"/>
  <c r="S40" i="37"/>
  <c r="R40" i="37"/>
  <c r="G36" i="37"/>
  <c r="R34" i="37"/>
  <c r="G32" i="37"/>
  <c r="U29" i="37"/>
  <c r="AA27" i="37"/>
  <c r="AA28" i="37" s="1"/>
  <c r="M23" i="37"/>
  <c r="W20" i="37"/>
  <c r="M18" i="37"/>
  <c r="M19" i="37" s="1"/>
  <c r="Y17" i="37"/>
  <c r="X17" i="37"/>
  <c r="Q17" i="37"/>
  <c r="Q16" i="37"/>
  <c r="M15" i="37"/>
  <c r="AF13" i="37"/>
  <c r="R12" i="37"/>
  <c r="P11" i="37"/>
  <c r="M10" i="37"/>
  <c r="M25" i="37" s="1"/>
  <c r="G38" i="37" s="1"/>
  <c r="Q7" i="37"/>
  <c r="T6" i="37"/>
  <c r="Q6" i="37"/>
  <c r="B5" i="37"/>
  <c r="R4" i="37"/>
  <c r="Q4" i="37"/>
  <c r="B4" i="37"/>
  <c r="H5" i="36"/>
  <c r="H25" i="36" s="1"/>
  <c r="H4" i="36"/>
  <c r="T48" i="36"/>
  <c r="G41" i="36"/>
  <c r="S40" i="36"/>
  <c r="R40" i="36"/>
  <c r="R34" i="36"/>
  <c r="G32" i="36"/>
  <c r="G36" i="36" s="1"/>
  <c r="U29" i="36"/>
  <c r="AA27" i="36"/>
  <c r="AA28" i="36" s="1"/>
  <c r="M23" i="36"/>
  <c r="W20" i="36"/>
  <c r="M18" i="36"/>
  <c r="Y17" i="36"/>
  <c r="X17" i="36"/>
  <c r="M17" i="36"/>
  <c r="M19" i="36" s="1"/>
  <c r="Q16" i="36"/>
  <c r="Q17" i="36" s="1"/>
  <c r="M15" i="36"/>
  <c r="AF13" i="36"/>
  <c r="R12" i="36"/>
  <c r="P11" i="36"/>
  <c r="M10" i="36"/>
  <c r="Q7" i="36"/>
  <c r="T6" i="36"/>
  <c r="Q6" i="36"/>
  <c r="B5" i="36"/>
  <c r="R4" i="36"/>
  <c r="Q4" i="36" s="1"/>
  <c r="G25" i="36"/>
  <c r="B4" i="36"/>
  <c r="AM8" i="2"/>
  <c r="AM9" i="2" s="1"/>
  <c r="G5" i="35"/>
  <c r="G4" i="35"/>
  <c r="T48" i="35"/>
  <c r="G41" i="35"/>
  <c r="S40" i="35"/>
  <c r="R40" i="35"/>
  <c r="R34" i="35"/>
  <c r="G32" i="35"/>
  <c r="G36" i="35" s="1"/>
  <c r="U29" i="35"/>
  <c r="AA27" i="35"/>
  <c r="AA28" i="35" s="1"/>
  <c r="G25" i="35"/>
  <c r="M23" i="35"/>
  <c r="W20" i="35"/>
  <c r="M18" i="35"/>
  <c r="X17" i="35"/>
  <c r="Y17" i="35" s="1"/>
  <c r="M17" i="35"/>
  <c r="M19" i="35" s="1"/>
  <c r="Q16" i="35"/>
  <c r="Q17" i="35" s="1"/>
  <c r="M15" i="35"/>
  <c r="AF13" i="35"/>
  <c r="R12" i="35"/>
  <c r="P11" i="35"/>
  <c r="M10" i="35"/>
  <c r="H25" i="35"/>
  <c r="Q7" i="35"/>
  <c r="T6" i="35"/>
  <c r="Q6" i="35"/>
  <c r="B5" i="35"/>
  <c r="R4" i="35"/>
  <c r="Q4" i="35" s="1"/>
  <c r="B4" i="35"/>
  <c r="AL8" i="2"/>
  <c r="G25" i="34"/>
  <c r="H25" i="34"/>
  <c r="T48" i="34"/>
  <c r="G41" i="34"/>
  <c r="S40" i="34"/>
  <c r="R40" i="34"/>
  <c r="G36" i="34"/>
  <c r="R34" i="34"/>
  <c r="G32" i="34"/>
  <c r="U29" i="34"/>
  <c r="AA27" i="34"/>
  <c r="AA28" i="34" s="1"/>
  <c r="M23" i="34"/>
  <c r="W20" i="34"/>
  <c r="M18" i="34"/>
  <c r="X17" i="34"/>
  <c r="Y17" i="34" s="1"/>
  <c r="Q17" i="34"/>
  <c r="M17" i="34"/>
  <c r="M19" i="34" s="1"/>
  <c r="Q16" i="34"/>
  <c r="M15" i="34"/>
  <c r="AF13" i="34"/>
  <c r="R12" i="34"/>
  <c r="P11" i="34"/>
  <c r="M10" i="34"/>
  <c r="M25" i="34" s="1"/>
  <c r="G38" i="34" s="1"/>
  <c r="H10" i="34"/>
  <c r="Q7" i="34"/>
  <c r="T6" i="34"/>
  <c r="Q6" i="34"/>
  <c r="B5" i="34"/>
  <c r="R4" i="34"/>
  <c r="Q4" i="34" s="1"/>
  <c r="B4" i="34"/>
  <c r="AK6" i="2"/>
  <c r="AK5" i="2"/>
  <c r="AK4" i="2"/>
  <c r="G10" i="33"/>
  <c r="I25" i="37" l="1"/>
  <c r="G43" i="37"/>
  <c r="I25" i="36"/>
  <c r="M25" i="36"/>
  <c r="G38" i="36" s="1"/>
  <c r="G43" i="36" s="1"/>
  <c r="I25" i="35"/>
  <c r="M25" i="35"/>
  <c r="G38" i="35" s="1"/>
  <c r="G43" i="35" s="1"/>
  <c r="I25" i="34"/>
  <c r="G43" i="34"/>
  <c r="T48" i="33"/>
  <c r="G41" i="33"/>
  <c r="S40" i="33"/>
  <c r="R40" i="33"/>
  <c r="R34" i="33"/>
  <c r="G32" i="33"/>
  <c r="G36" i="33" s="1"/>
  <c r="U29" i="33"/>
  <c r="AA27" i="33"/>
  <c r="AA28" i="33" s="1"/>
  <c r="H25" i="33"/>
  <c r="G25" i="33"/>
  <c r="M23" i="33"/>
  <c r="W20" i="33"/>
  <c r="M18" i="33"/>
  <c r="X17" i="33"/>
  <c r="Y17" i="33" s="1"/>
  <c r="M17" i="33"/>
  <c r="M19" i="33" s="1"/>
  <c r="Q16" i="33"/>
  <c r="Q17" i="33" s="1"/>
  <c r="M15" i="33"/>
  <c r="AF13" i="33"/>
  <c r="R12" i="33"/>
  <c r="P11" i="33"/>
  <c r="M10" i="33"/>
  <c r="Q7" i="33"/>
  <c r="T6" i="33"/>
  <c r="Q6" i="33"/>
  <c r="B5" i="33"/>
  <c r="R4" i="33"/>
  <c r="Q4" i="33" s="1"/>
  <c r="B4" i="33"/>
  <c r="AK8" i="2"/>
  <c r="AL9" i="2" s="1"/>
  <c r="AJ6" i="2"/>
  <c r="AJ5" i="2"/>
  <c r="AJ4" i="2"/>
  <c r="I25" i="33" l="1"/>
  <c r="M25" i="33"/>
  <c r="G38" i="33" s="1"/>
  <c r="G43" i="33"/>
  <c r="AJ8" i="2"/>
  <c r="AK9" i="2" s="1"/>
  <c r="T48" i="32" l="1"/>
  <c r="G41" i="32"/>
  <c r="S40" i="32"/>
  <c r="R40" i="32"/>
  <c r="R34" i="32"/>
  <c r="G32" i="32"/>
  <c r="G36" i="32" s="1"/>
  <c r="U29" i="32"/>
  <c r="AA28" i="32"/>
  <c r="AA27" i="32"/>
  <c r="G25" i="32"/>
  <c r="M23" i="32"/>
  <c r="W20" i="32"/>
  <c r="M19" i="32"/>
  <c r="M18" i="32"/>
  <c r="X17" i="32"/>
  <c r="Y17" i="32" s="1"/>
  <c r="M17" i="32"/>
  <c r="Q16" i="32"/>
  <c r="Q17" i="32" s="1"/>
  <c r="M15" i="32"/>
  <c r="AF13" i="32"/>
  <c r="R12" i="32"/>
  <c r="P11" i="32"/>
  <c r="M10" i="32"/>
  <c r="M25" i="32" s="1"/>
  <c r="G38" i="32" s="1"/>
  <c r="G43" i="32" s="1"/>
  <c r="H25" i="32"/>
  <c r="Q7" i="32"/>
  <c r="T6" i="32"/>
  <c r="Q6" i="32"/>
  <c r="B5" i="32"/>
  <c r="R4" i="32"/>
  <c r="Q4" i="32"/>
  <c r="B4" i="32"/>
  <c r="AI5" i="2"/>
  <c r="AI4" i="2"/>
  <c r="AI6" i="2"/>
  <c r="I25" i="32" l="1"/>
  <c r="AI8" i="2"/>
  <c r="H10" i="31"/>
  <c r="H25" i="31" s="1"/>
  <c r="T48" i="31"/>
  <c r="G41" i="31"/>
  <c r="S40" i="31"/>
  <c r="R40" i="31"/>
  <c r="R34" i="31"/>
  <c r="G32" i="31"/>
  <c r="G36" i="31" s="1"/>
  <c r="U29" i="31"/>
  <c r="AA28" i="31"/>
  <c r="AA27" i="31"/>
  <c r="M23" i="31"/>
  <c r="W20" i="31"/>
  <c r="M19" i="31"/>
  <c r="M18" i="31"/>
  <c r="X17" i="31"/>
  <c r="Y17" i="31" s="1"/>
  <c r="M17" i="31"/>
  <c r="Q16" i="31"/>
  <c r="Q17" i="31" s="1"/>
  <c r="M15" i="31"/>
  <c r="AF13" i="31"/>
  <c r="R12" i="31"/>
  <c r="P11" i="31"/>
  <c r="M10" i="31"/>
  <c r="M25" i="31" s="1"/>
  <c r="G38" i="31" s="1"/>
  <c r="G43" i="31" s="1"/>
  <c r="G25" i="31"/>
  <c r="Q7" i="31"/>
  <c r="T6" i="31"/>
  <c r="Q6" i="31"/>
  <c r="B5" i="31"/>
  <c r="R4" i="31"/>
  <c r="Q4" i="31"/>
  <c r="B4" i="31"/>
  <c r="G10" i="30"/>
  <c r="G25" i="30" s="1"/>
  <c r="H25" i="30"/>
  <c r="AI9" i="2" l="1"/>
  <c r="AJ9" i="2"/>
  <c r="I25" i="31"/>
  <c r="AH8" i="2"/>
  <c r="AH9" i="2" s="1"/>
  <c r="T48" i="30"/>
  <c r="G41" i="30"/>
  <c r="S40" i="30"/>
  <c r="R40" i="30"/>
  <c r="R34" i="30"/>
  <c r="G32" i="30"/>
  <c r="G36" i="30" s="1"/>
  <c r="U29" i="30"/>
  <c r="AA28" i="30"/>
  <c r="AA27" i="30"/>
  <c r="M23" i="30"/>
  <c r="W20" i="30"/>
  <c r="M18" i="30"/>
  <c r="Y17" i="30"/>
  <c r="X17" i="30"/>
  <c r="M17" i="30"/>
  <c r="M19" i="30" s="1"/>
  <c r="M25" i="30" s="1"/>
  <c r="G38" i="30" s="1"/>
  <c r="Q16" i="30"/>
  <c r="Q17" i="30" s="1"/>
  <c r="M15" i="30"/>
  <c r="AF13" i="30"/>
  <c r="R12" i="30"/>
  <c r="P11" i="30"/>
  <c r="M10" i="30"/>
  <c r="H10" i="30"/>
  <c r="Q7" i="30"/>
  <c r="T6" i="30"/>
  <c r="Q6" i="30"/>
  <c r="H5" i="30"/>
  <c r="B5" i="30"/>
  <c r="R4" i="30"/>
  <c r="Q4" i="30" s="1"/>
  <c r="H4" i="30"/>
  <c r="I25" i="30" s="1"/>
  <c r="B4" i="30"/>
  <c r="AG8" i="2"/>
  <c r="G10" i="29"/>
  <c r="G43" i="30" l="1"/>
  <c r="G4" i="29"/>
  <c r="G5" i="29"/>
  <c r="H10" i="29"/>
  <c r="H5" i="29"/>
  <c r="H4" i="29"/>
  <c r="H25" i="29" s="1"/>
  <c r="T48" i="29"/>
  <c r="G41" i="29"/>
  <c r="S40" i="29"/>
  <c r="R40" i="29"/>
  <c r="R34" i="29"/>
  <c r="G32" i="29"/>
  <c r="G36" i="29" s="1"/>
  <c r="U29" i="29"/>
  <c r="AA28" i="29"/>
  <c r="AA27" i="29"/>
  <c r="M23" i="29"/>
  <c r="W20" i="29"/>
  <c r="M18" i="29"/>
  <c r="X17" i="29"/>
  <c r="Y17" i="29" s="1"/>
  <c r="Q17" i="29"/>
  <c r="M17" i="29"/>
  <c r="M19" i="29" s="1"/>
  <c r="Q16" i="29"/>
  <c r="M15" i="29"/>
  <c r="AF13" i="29"/>
  <c r="R12" i="29"/>
  <c r="P11" i="29"/>
  <c r="M10" i="29"/>
  <c r="Q7" i="29"/>
  <c r="T6" i="29"/>
  <c r="Q6" i="29"/>
  <c r="B5" i="29"/>
  <c r="R4" i="29"/>
  <c r="Q4" i="29"/>
  <c r="B4" i="29"/>
  <c r="AF5" i="2"/>
  <c r="AF4" i="2"/>
  <c r="AF7" i="2"/>
  <c r="AF6" i="2"/>
  <c r="M18" i="28"/>
  <c r="G10" i="28"/>
  <c r="G5" i="28"/>
  <c r="G4" i="28"/>
  <c r="H10" i="28"/>
  <c r="T48" i="28"/>
  <c r="G41" i="28"/>
  <c r="S40" i="28"/>
  <c r="R40" i="28"/>
  <c r="G36" i="28"/>
  <c r="R34" i="28"/>
  <c r="G32" i="28"/>
  <c r="U29" i="28"/>
  <c r="AA27" i="28"/>
  <c r="AA28" i="28" s="1"/>
  <c r="H25" i="28"/>
  <c r="G25" i="28"/>
  <c r="I25" i="28" s="1"/>
  <c r="M23" i="28"/>
  <c r="W20" i="28"/>
  <c r="X17" i="28"/>
  <c r="Y17" i="28" s="1"/>
  <c r="Q16" i="28"/>
  <c r="Q17" i="28" s="1"/>
  <c r="M19" i="28"/>
  <c r="M17" i="28"/>
  <c r="AF13" i="28"/>
  <c r="M15" i="28"/>
  <c r="R12" i="28"/>
  <c r="P11" i="28"/>
  <c r="M10" i="28"/>
  <c r="Q7" i="28"/>
  <c r="T6" i="28"/>
  <c r="Q6" i="28"/>
  <c r="B5" i="28"/>
  <c r="R4" i="28"/>
  <c r="Q4" i="28" s="1"/>
  <c r="B4" i="28"/>
  <c r="AE6" i="2"/>
  <c r="AE4" i="2"/>
  <c r="AF8" i="2" l="1"/>
  <c r="AG9" i="2" s="1"/>
  <c r="G25" i="29"/>
  <c r="I25" i="29" s="1"/>
  <c r="M25" i="29"/>
  <c r="G38" i="29" s="1"/>
  <c r="G43" i="29" s="1"/>
  <c r="M25" i="28"/>
  <c r="G38" i="28" s="1"/>
  <c r="G43" i="28" s="1"/>
  <c r="G10" i="27"/>
  <c r="H10" i="27"/>
  <c r="T48" i="27"/>
  <c r="G41" i="27"/>
  <c r="S40" i="27"/>
  <c r="R40" i="27"/>
  <c r="R34" i="27"/>
  <c r="G32" i="27"/>
  <c r="G36" i="27" s="1"/>
  <c r="U29" i="27"/>
  <c r="AA27" i="27"/>
  <c r="AA28" i="27" s="1"/>
  <c r="M23" i="27"/>
  <c r="W20" i="27"/>
  <c r="X17" i="27"/>
  <c r="Y17" i="27" s="1"/>
  <c r="Q16" i="27"/>
  <c r="Q17" i="27" s="1"/>
  <c r="M16" i="27"/>
  <c r="M15" i="27"/>
  <c r="M17" i="27" s="1"/>
  <c r="AF13" i="27"/>
  <c r="M13" i="27"/>
  <c r="R12" i="27"/>
  <c r="P11" i="27"/>
  <c r="G25" i="27"/>
  <c r="M9" i="27"/>
  <c r="Q7" i="27"/>
  <c r="T6" i="27"/>
  <c r="Q6" i="27"/>
  <c r="B5" i="27"/>
  <c r="R4" i="27"/>
  <c r="Q4" i="27"/>
  <c r="H25" i="27"/>
  <c r="B4" i="27"/>
  <c r="AD5" i="2"/>
  <c r="AD4" i="2"/>
  <c r="AD6" i="2"/>
  <c r="I25" i="26"/>
  <c r="M25" i="27" l="1"/>
  <c r="G38" i="27" s="1"/>
  <c r="G43" i="27" s="1"/>
  <c r="I25" i="27"/>
  <c r="AD8" i="2"/>
  <c r="G25" i="26" l="1"/>
  <c r="H25" i="26"/>
  <c r="G10" i="26"/>
  <c r="T48" i="26"/>
  <c r="G41" i="26"/>
  <c r="S40" i="26"/>
  <c r="R40" i="26"/>
  <c r="R34" i="26"/>
  <c r="G32" i="26"/>
  <c r="G36" i="26" s="1"/>
  <c r="U29" i="26"/>
  <c r="AA27" i="26"/>
  <c r="AA28" i="26" s="1"/>
  <c r="M23" i="26"/>
  <c r="W20" i="26"/>
  <c r="X17" i="26"/>
  <c r="Y17" i="26" s="1"/>
  <c r="Q16" i="26"/>
  <c r="Q17" i="26" s="1"/>
  <c r="M16" i="26"/>
  <c r="M15" i="26"/>
  <c r="AF13" i="26"/>
  <c r="M13" i="26"/>
  <c r="R12" i="26"/>
  <c r="P11" i="26"/>
  <c r="H10" i="26"/>
  <c r="M9" i="26"/>
  <c r="Q7" i="26"/>
  <c r="T6" i="26"/>
  <c r="Q6" i="26"/>
  <c r="H5" i="26"/>
  <c r="B5" i="26"/>
  <c r="R4" i="26"/>
  <c r="Q4" i="26" s="1"/>
  <c r="H4" i="26"/>
  <c r="B4" i="26"/>
  <c r="AC7" i="2"/>
  <c r="AC5" i="2"/>
  <c r="AC4" i="2"/>
  <c r="AC6" i="2"/>
  <c r="G5" i="25"/>
  <c r="G4" i="25"/>
  <c r="AC8" i="2" l="1"/>
  <c r="AD9" i="2" s="1"/>
  <c r="M17" i="26"/>
  <c r="M25" i="26" s="1"/>
  <c r="G38" i="26" s="1"/>
  <c r="G43" i="26" s="1"/>
  <c r="G10" i="25"/>
  <c r="H10" i="25"/>
  <c r="H4" i="25"/>
  <c r="H25" i="25" s="1"/>
  <c r="T48" i="25"/>
  <c r="G41" i="25"/>
  <c r="S40" i="25"/>
  <c r="R40" i="25"/>
  <c r="G36" i="25"/>
  <c r="R34" i="25"/>
  <c r="G32" i="25"/>
  <c r="U29" i="25"/>
  <c r="AA27" i="25"/>
  <c r="AA28" i="25" s="1"/>
  <c r="I25" i="25"/>
  <c r="G25" i="25"/>
  <c r="M23" i="25"/>
  <c r="W20" i="25"/>
  <c r="X17" i="25"/>
  <c r="Y17" i="25" s="1"/>
  <c r="Q16" i="25"/>
  <c r="Q17" i="25" s="1"/>
  <c r="M16" i="25"/>
  <c r="M17" i="25" s="1"/>
  <c r="M15" i="25"/>
  <c r="AF13" i="25"/>
  <c r="M13" i="25"/>
  <c r="R12" i="25"/>
  <c r="P11" i="25"/>
  <c r="M9" i="25"/>
  <c r="M25" i="25" s="1"/>
  <c r="G38" i="25" s="1"/>
  <c r="Q7" i="25"/>
  <c r="T6" i="25"/>
  <c r="Q6" i="25"/>
  <c r="B5" i="25"/>
  <c r="R4" i="25"/>
  <c r="Q4" i="25"/>
  <c r="B4" i="25"/>
  <c r="AB5" i="2"/>
  <c r="AB4" i="2"/>
  <c r="AB6" i="2"/>
  <c r="G25" i="24"/>
  <c r="H25" i="24"/>
  <c r="G4" i="24"/>
  <c r="G10" i="24"/>
  <c r="T48" i="24"/>
  <c r="G41" i="24"/>
  <c r="S40" i="24"/>
  <c r="R40" i="24"/>
  <c r="G36" i="24"/>
  <c r="R34" i="24"/>
  <c r="G32" i="24"/>
  <c r="U29" i="24"/>
  <c r="AA27" i="24"/>
  <c r="AA28" i="24" s="1"/>
  <c r="I25" i="24"/>
  <c r="M23" i="24"/>
  <c r="W20" i="24"/>
  <c r="X17" i="24"/>
  <c r="Y17" i="24" s="1"/>
  <c r="Q16" i="24"/>
  <c r="Q17" i="24" s="1"/>
  <c r="M16" i="24"/>
  <c r="M17" i="24" s="1"/>
  <c r="M15" i="24"/>
  <c r="AF13" i="24"/>
  <c r="M13" i="24"/>
  <c r="R12" i="24"/>
  <c r="P11" i="24"/>
  <c r="H10" i="24"/>
  <c r="M9" i="24"/>
  <c r="Q7" i="24"/>
  <c r="T6" i="24"/>
  <c r="Q6" i="24"/>
  <c r="B5" i="24"/>
  <c r="R4" i="24"/>
  <c r="Q4" i="24"/>
  <c r="B4" i="24"/>
  <c r="AA4" i="2"/>
  <c r="AA7" i="2"/>
  <c r="AA6" i="2"/>
  <c r="AB8" i="2" l="1"/>
  <c r="AC9" i="2" s="1"/>
  <c r="G43" i="25"/>
  <c r="M25" i="24"/>
  <c r="G38" i="24" s="1"/>
  <c r="G43" i="24"/>
  <c r="G10" i="23"/>
  <c r="G25" i="23" s="1"/>
  <c r="M16" i="23"/>
  <c r="M15" i="23"/>
  <c r="M17" i="23" s="1"/>
  <c r="H10" i="23"/>
  <c r="H25" i="23" s="1"/>
  <c r="T48" i="23"/>
  <c r="G41" i="23"/>
  <c r="S40" i="23"/>
  <c r="R40" i="23"/>
  <c r="R34" i="23"/>
  <c r="G32" i="23"/>
  <c r="G36" i="23" s="1"/>
  <c r="U29" i="23"/>
  <c r="AA27" i="23"/>
  <c r="AA28" i="23" s="1"/>
  <c r="I25" i="23"/>
  <c r="M23" i="23"/>
  <c r="W20" i="23"/>
  <c r="X17" i="23"/>
  <c r="Y17" i="23" s="1"/>
  <c r="Q17" i="23"/>
  <c r="Q16" i="23"/>
  <c r="AF13" i="23"/>
  <c r="M13" i="23"/>
  <c r="R12" i="23"/>
  <c r="P11" i="23"/>
  <c r="M9" i="23"/>
  <c r="Q7" i="23"/>
  <c r="T6" i="23"/>
  <c r="Q6" i="23"/>
  <c r="B5" i="23"/>
  <c r="R4" i="23"/>
  <c r="Q4" i="23" s="1"/>
  <c r="B4" i="23"/>
  <c r="G10" i="22"/>
  <c r="G25" i="22" s="1"/>
  <c r="H25" i="22"/>
  <c r="T48" i="22"/>
  <c r="G41" i="22"/>
  <c r="S40" i="22"/>
  <c r="R40" i="22"/>
  <c r="R34" i="22"/>
  <c r="G32" i="22"/>
  <c r="G36" i="22" s="1"/>
  <c r="U29" i="22"/>
  <c r="AA27" i="22"/>
  <c r="AA28" i="22" s="1"/>
  <c r="I25" i="22"/>
  <c r="M23" i="22"/>
  <c r="W20" i="22"/>
  <c r="H17" i="22"/>
  <c r="X17" i="22"/>
  <c r="Y17" i="22" s="1"/>
  <c r="M17" i="22"/>
  <c r="Q16" i="22"/>
  <c r="Q17" i="22" s="1"/>
  <c r="M16" i="22"/>
  <c r="M15" i="22"/>
  <c r="AF13" i="22"/>
  <c r="M13" i="22"/>
  <c r="R12" i="22"/>
  <c r="P11" i="22"/>
  <c r="H10" i="22"/>
  <c r="M9" i="22"/>
  <c r="M25" i="22" s="1"/>
  <c r="G38" i="22" s="1"/>
  <c r="Q7" i="22"/>
  <c r="T6" i="22"/>
  <c r="Q6" i="22"/>
  <c r="B5" i="22"/>
  <c r="R4" i="22"/>
  <c r="Q4" i="22"/>
  <c r="B4" i="22"/>
  <c r="M25" i="23" l="1"/>
  <c r="G38" i="23" s="1"/>
  <c r="G43" i="23" s="1"/>
  <c r="G43" i="22"/>
  <c r="G18" i="21"/>
  <c r="G25" i="21" s="1"/>
  <c r="G11" i="21"/>
  <c r="T48" i="21"/>
  <c r="G41" i="21"/>
  <c r="S40" i="21"/>
  <c r="R40" i="21"/>
  <c r="R34" i="21"/>
  <c r="G32" i="21"/>
  <c r="G36" i="21" s="1"/>
  <c r="U29" i="21"/>
  <c r="AA27" i="21"/>
  <c r="AA28" i="21" s="1"/>
  <c r="M23" i="21"/>
  <c r="W20" i="21"/>
  <c r="H18" i="21"/>
  <c r="Y17" i="21"/>
  <c r="X17" i="21"/>
  <c r="M17" i="21"/>
  <c r="Q16" i="21"/>
  <c r="Q17" i="21" s="1"/>
  <c r="M16" i="21"/>
  <c r="M15" i="21"/>
  <c r="AF13" i="21"/>
  <c r="M13" i="21"/>
  <c r="M25" i="21" s="1"/>
  <c r="G38" i="21" s="1"/>
  <c r="R12" i="21"/>
  <c r="P11" i="21"/>
  <c r="H11" i="21"/>
  <c r="H25" i="21" s="1"/>
  <c r="M9" i="21"/>
  <c r="Q7" i="21"/>
  <c r="T6" i="21"/>
  <c r="Q6" i="21"/>
  <c r="B5" i="21"/>
  <c r="R4" i="21"/>
  <c r="B4" i="21"/>
  <c r="G25" i="20"/>
  <c r="I25" i="21" l="1"/>
  <c r="Q4" i="21"/>
  <c r="G43" i="21"/>
  <c r="G18" i="20"/>
  <c r="G11" i="20"/>
  <c r="H18" i="20"/>
  <c r="H11" i="20"/>
  <c r="T48" i="20"/>
  <c r="G41" i="20"/>
  <c r="S40" i="20"/>
  <c r="R40" i="20"/>
  <c r="G36" i="20"/>
  <c r="R34" i="20"/>
  <c r="G32" i="20"/>
  <c r="U29" i="20"/>
  <c r="AA27" i="20"/>
  <c r="AA28" i="20" s="1"/>
  <c r="M23" i="20"/>
  <c r="W20" i="20"/>
  <c r="Y17" i="20"/>
  <c r="X17" i="20"/>
  <c r="Q16" i="20"/>
  <c r="Q17" i="20" s="1"/>
  <c r="M16" i="20"/>
  <c r="M15" i="20"/>
  <c r="M17" i="20" s="1"/>
  <c r="AF13" i="20"/>
  <c r="M13" i="20"/>
  <c r="R12" i="20"/>
  <c r="H25" i="20"/>
  <c r="P11" i="20"/>
  <c r="M9" i="20"/>
  <c r="M25" i="20" s="1"/>
  <c r="G38" i="20" s="1"/>
  <c r="Q7" i="20"/>
  <c r="T6" i="20"/>
  <c r="Q6" i="20"/>
  <c r="B5" i="20"/>
  <c r="R4" i="20"/>
  <c r="B4" i="20"/>
  <c r="W5" i="2"/>
  <c r="W4" i="2"/>
  <c r="W6" i="2"/>
  <c r="I25" i="20" l="1"/>
  <c r="Q4" i="20"/>
  <c r="G43" i="20"/>
  <c r="P11" i="19"/>
  <c r="G18" i="19"/>
  <c r="G11" i="19"/>
  <c r="H18" i="19"/>
  <c r="H12" i="19"/>
  <c r="R4" i="19" s="1"/>
  <c r="T48" i="19"/>
  <c r="G41" i="19"/>
  <c r="S40" i="19"/>
  <c r="R40" i="19"/>
  <c r="R34" i="19"/>
  <c r="G32" i="19"/>
  <c r="G36" i="19" s="1"/>
  <c r="U29" i="19"/>
  <c r="AA27" i="19"/>
  <c r="AA28" i="19" s="1"/>
  <c r="M23" i="19"/>
  <c r="W20" i="19"/>
  <c r="Y17" i="19"/>
  <c r="X17" i="19"/>
  <c r="Q16" i="19"/>
  <c r="Q17" i="19" s="1"/>
  <c r="M16" i="19"/>
  <c r="M15" i="19"/>
  <c r="M17" i="19" s="1"/>
  <c r="M25" i="19" s="1"/>
  <c r="G38" i="19" s="1"/>
  <c r="AF13" i="19"/>
  <c r="M13" i="19"/>
  <c r="R12" i="19"/>
  <c r="M9" i="19"/>
  <c r="Q7" i="19"/>
  <c r="T6" i="19"/>
  <c r="Q6" i="19"/>
  <c r="B5" i="19"/>
  <c r="B4" i="19"/>
  <c r="V4" i="2"/>
  <c r="G25" i="19" l="1"/>
  <c r="G43" i="19"/>
  <c r="H25" i="19"/>
  <c r="V6" i="2"/>
  <c r="G12" i="18"/>
  <c r="G18" i="18"/>
  <c r="G25" i="18" s="1"/>
  <c r="H8" i="18"/>
  <c r="T48" i="18"/>
  <c r="G41" i="18"/>
  <c r="S40" i="18"/>
  <c r="R40" i="18"/>
  <c r="R34" i="18"/>
  <c r="G32" i="18"/>
  <c r="G36" i="18" s="1"/>
  <c r="U29" i="18"/>
  <c r="AA27" i="18"/>
  <c r="AA28" i="18" s="1"/>
  <c r="M23" i="18"/>
  <c r="W20" i="18"/>
  <c r="X17" i="18"/>
  <c r="Y17" i="18" s="1"/>
  <c r="Q16" i="18"/>
  <c r="Q17" i="18" s="1"/>
  <c r="M16" i="18"/>
  <c r="M15" i="18"/>
  <c r="M17" i="18" s="1"/>
  <c r="M25" i="18" s="1"/>
  <c r="G38" i="18" s="1"/>
  <c r="G43" i="18" s="1"/>
  <c r="AF13" i="18"/>
  <c r="M13" i="18"/>
  <c r="R12" i="18"/>
  <c r="H25" i="18"/>
  <c r="M9" i="18"/>
  <c r="Q7" i="18"/>
  <c r="T6" i="18"/>
  <c r="Q6" i="18"/>
  <c r="B5" i="18"/>
  <c r="R4" i="18"/>
  <c r="B4" i="18"/>
  <c r="U5" i="2"/>
  <c r="U4" i="2"/>
  <c r="I25" i="19" l="1"/>
  <c r="Q4" i="19"/>
  <c r="I25" i="18"/>
  <c r="Q4" i="18"/>
  <c r="U6" i="2" l="1"/>
  <c r="G8" i="17"/>
  <c r="H18" i="17"/>
  <c r="H11" i="17"/>
  <c r="T48" i="17"/>
  <c r="G41" i="17"/>
  <c r="S40" i="17"/>
  <c r="R40" i="17"/>
  <c r="G36" i="17"/>
  <c r="R34" i="17"/>
  <c r="G32" i="17"/>
  <c r="U29" i="17"/>
  <c r="AA27" i="17"/>
  <c r="AA28" i="17" s="1"/>
  <c r="M23" i="17"/>
  <c r="W20" i="17"/>
  <c r="X17" i="17"/>
  <c r="Y17" i="17" s="1"/>
  <c r="M17" i="17"/>
  <c r="Q16" i="17"/>
  <c r="Q17" i="17" s="1"/>
  <c r="M16" i="17"/>
  <c r="M15" i="17"/>
  <c r="AF13" i="17"/>
  <c r="M13" i="17"/>
  <c r="R12" i="17"/>
  <c r="G25" i="17"/>
  <c r="M9" i="17"/>
  <c r="M25" i="17" s="1"/>
  <c r="G38" i="17" s="1"/>
  <c r="Q7" i="17"/>
  <c r="T6" i="17"/>
  <c r="Q6" i="17"/>
  <c r="B5" i="17"/>
  <c r="R4" i="17"/>
  <c r="H25" i="17"/>
  <c r="B4" i="17"/>
  <c r="T4" i="2"/>
  <c r="T5" i="2"/>
  <c r="T6" i="2"/>
  <c r="Q4" i="17" l="1"/>
  <c r="I25" i="17"/>
  <c r="G43" i="17"/>
  <c r="G11" i="16" l="1"/>
  <c r="G18" i="16"/>
  <c r="T48" i="16"/>
  <c r="G41" i="16"/>
  <c r="S40" i="16"/>
  <c r="R40" i="16"/>
  <c r="G36" i="16"/>
  <c r="R34" i="16"/>
  <c r="G32" i="16"/>
  <c r="U29" i="16"/>
  <c r="AA28" i="16"/>
  <c r="AA27" i="16"/>
  <c r="M23" i="16"/>
  <c r="W20" i="16"/>
  <c r="H18" i="16"/>
  <c r="X17" i="16"/>
  <c r="Y17" i="16" s="1"/>
  <c r="Q16" i="16"/>
  <c r="Q17" i="16" s="1"/>
  <c r="M16" i="16"/>
  <c r="M15" i="16"/>
  <c r="M17" i="16" s="1"/>
  <c r="M25" i="16" s="1"/>
  <c r="G38" i="16" s="1"/>
  <c r="G43" i="16" s="1"/>
  <c r="AF13" i="16"/>
  <c r="M13" i="16"/>
  <c r="R12" i="16"/>
  <c r="H11" i="16"/>
  <c r="M9" i="16"/>
  <c r="Q7" i="16"/>
  <c r="T6" i="16"/>
  <c r="Q6" i="16"/>
  <c r="H5" i="16"/>
  <c r="B5" i="16"/>
  <c r="R4" i="16"/>
  <c r="H4" i="16"/>
  <c r="H25" i="16" s="1"/>
  <c r="B4" i="16"/>
  <c r="G25" i="16" l="1"/>
  <c r="I25" i="16"/>
  <c r="Q4" i="16"/>
  <c r="S5" i="2"/>
  <c r="S4" i="2"/>
  <c r="S7" i="2" l="1"/>
  <c r="T7" i="2" s="1"/>
  <c r="S6" i="2"/>
  <c r="S8" i="2" s="1"/>
  <c r="U7" i="2" l="1"/>
  <c r="T8" i="2"/>
  <c r="G18" i="15"/>
  <c r="G4" i="15"/>
  <c r="G5" i="15"/>
  <c r="G11" i="15"/>
  <c r="H18" i="15"/>
  <c r="T48" i="15"/>
  <c r="G41" i="15"/>
  <c r="S40" i="15"/>
  <c r="R40" i="15"/>
  <c r="R34" i="15"/>
  <c r="G32" i="15"/>
  <c r="G36" i="15" s="1"/>
  <c r="U29" i="15"/>
  <c r="AA27" i="15"/>
  <c r="AA28" i="15" s="1"/>
  <c r="M23" i="15"/>
  <c r="W20" i="15"/>
  <c r="H25" i="15"/>
  <c r="X17" i="15"/>
  <c r="Y17" i="15" s="1"/>
  <c r="Q16" i="15"/>
  <c r="Q17" i="15" s="1"/>
  <c r="M16" i="15"/>
  <c r="M17" i="15" s="1"/>
  <c r="M15" i="15"/>
  <c r="AF13" i="15"/>
  <c r="M13" i="15"/>
  <c r="R12" i="15"/>
  <c r="M9" i="15"/>
  <c r="Q7" i="15"/>
  <c r="T6" i="15"/>
  <c r="Q6" i="15"/>
  <c r="B5" i="15"/>
  <c r="R4" i="15"/>
  <c r="B4" i="15"/>
  <c r="V7" i="2" l="1"/>
  <c r="W7" i="2" s="1"/>
  <c r="U8" i="2"/>
  <c r="U9" i="2" s="1"/>
  <c r="T9" i="2"/>
  <c r="G25" i="15"/>
  <c r="Q4" i="15" s="1"/>
  <c r="M25" i="15"/>
  <c r="G38" i="15" s="1"/>
  <c r="G43" i="15" s="1"/>
  <c r="Q7" i="2"/>
  <c r="R7" i="2"/>
  <c r="M16" i="14"/>
  <c r="M15" i="14"/>
  <c r="R5" i="2"/>
  <c r="R4" i="2"/>
  <c r="Q6" i="2"/>
  <c r="R6" i="2"/>
  <c r="G18" i="14"/>
  <c r="X7" i="2" l="1"/>
  <c r="W8" i="2"/>
  <c r="R8" i="2"/>
  <c r="S9" i="2" s="1"/>
  <c r="I25" i="15"/>
  <c r="H18" i="14"/>
  <c r="X8" i="2" l="1"/>
  <c r="X9" i="2" s="1"/>
  <c r="Y7" i="2"/>
  <c r="Q5" i="2"/>
  <c r="Q4" i="2"/>
  <c r="Y8" i="2" l="1"/>
  <c r="Z7" i="2"/>
  <c r="Z8" i="2" s="1"/>
  <c r="Z9" i="2" s="1"/>
  <c r="G25" i="14"/>
  <c r="M13" i="14"/>
  <c r="T48" i="14"/>
  <c r="G41" i="14"/>
  <c r="S40" i="14"/>
  <c r="R40" i="14"/>
  <c r="R34" i="14"/>
  <c r="G32" i="14"/>
  <c r="G36" i="14" s="1"/>
  <c r="U29" i="14"/>
  <c r="AA28" i="14"/>
  <c r="AA27" i="14"/>
  <c r="M23" i="14"/>
  <c r="W20" i="14"/>
  <c r="H25" i="14"/>
  <c r="X17" i="14"/>
  <c r="Y17" i="14" s="1"/>
  <c r="Q17" i="14"/>
  <c r="M17" i="14"/>
  <c r="M25" i="14" s="1"/>
  <c r="Q16" i="14"/>
  <c r="AF13" i="14"/>
  <c r="R12" i="14"/>
  <c r="M9" i="14"/>
  <c r="Q7" i="14"/>
  <c r="T6" i="14"/>
  <c r="Q6" i="14"/>
  <c r="B5" i="14"/>
  <c r="R4" i="14"/>
  <c r="B4" i="14"/>
  <c r="Y9" i="2" l="1"/>
  <c r="Z11" i="2"/>
  <c r="Q8" i="2"/>
  <c r="R9" i="2" s="1"/>
  <c r="G38" i="14"/>
  <c r="G43" i="14" s="1"/>
  <c r="I25" i="14"/>
  <c r="Q4" i="14"/>
  <c r="P6" i="2"/>
  <c r="P5" i="2"/>
  <c r="P4" i="2"/>
  <c r="G18" i="13" l="1"/>
  <c r="Q6" i="13" s="1"/>
  <c r="H18" i="13"/>
  <c r="T48" i="13"/>
  <c r="G41" i="13"/>
  <c r="S40" i="13"/>
  <c r="R40" i="13"/>
  <c r="G36" i="13"/>
  <c r="R34" i="13"/>
  <c r="G32" i="13"/>
  <c r="U29" i="13"/>
  <c r="AA27" i="13"/>
  <c r="AA28" i="13" s="1"/>
  <c r="M23" i="13"/>
  <c r="W20" i="13"/>
  <c r="H25" i="13"/>
  <c r="Y17" i="13"/>
  <c r="X17" i="13"/>
  <c r="M17" i="13"/>
  <c r="Q16" i="13"/>
  <c r="Q17" i="13" s="1"/>
  <c r="AF13" i="13"/>
  <c r="R12" i="13"/>
  <c r="R4" i="13"/>
  <c r="M9" i="13"/>
  <c r="M25" i="13" s="1"/>
  <c r="G38" i="13" s="1"/>
  <c r="Q7" i="13"/>
  <c r="T6" i="13"/>
  <c r="B5" i="13"/>
  <c r="B4" i="13"/>
  <c r="G25" i="13" l="1"/>
  <c r="I25" i="13" s="1"/>
  <c r="G43" i="13"/>
  <c r="O7" i="2"/>
  <c r="P7" i="2" s="1"/>
  <c r="P8" i="2" s="1"/>
  <c r="Q9" i="2" s="1"/>
  <c r="O6" i="2"/>
  <c r="O5" i="2"/>
  <c r="O4" i="2"/>
  <c r="O8" i="2" l="1"/>
  <c r="P9" i="2" s="1"/>
  <c r="Q4" i="13"/>
  <c r="G18" i="12"/>
  <c r="G12" i="12" l="1"/>
  <c r="G11" i="12" l="1"/>
  <c r="H18" i="12"/>
  <c r="H25" i="12" s="1"/>
  <c r="T48" i="12"/>
  <c r="G41" i="12"/>
  <c r="S40" i="12"/>
  <c r="R40" i="12"/>
  <c r="R34" i="12"/>
  <c r="G32" i="12"/>
  <c r="U29" i="12"/>
  <c r="AA28" i="12"/>
  <c r="AA27" i="12"/>
  <c r="M25" i="12"/>
  <c r="G38" i="12" s="1"/>
  <c r="M23" i="12"/>
  <c r="W20" i="12"/>
  <c r="X17" i="12"/>
  <c r="Y17" i="12" s="1"/>
  <c r="M17" i="12"/>
  <c r="Q16" i="12"/>
  <c r="Q17" i="12" s="1"/>
  <c r="AF13" i="12"/>
  <c r="R12" i="12"/>
  <c r="M9" i="12"/>
  <c r="Q7" i="12"/>
  <c r="T6" i="12"/>
  <c r="B5" i="12"/>
  <c r="R4" i="12"/>
  <c r="B4" i="12"/>
  <c r="G25" i="12" l="1"/>
  <c r="I25" i="12" s="1"/>
  <c r="Q6" i="12"/>
  <c r="G36" i="12" l="1"/>
  <c r="G43" i="12" s="1"/>
  <c r="Q4" i="12"/>
  <c r="N6" i="2"/>
  <c r="N8" i="2" s="1"/>
  <c r="O9" i="2" s="1"/>
  <c r="G18" i="11"/>
  <c r="G25" i="11"/>
  <c r="H18" i="11"/>
  <c r="H25" i="11" s="1"/>
  <c r="T48" i="11"/>
  <c r="G41" i="11"/>
  <c r="S40" i="11"/>
  <c r="R40" i="11"/>
  <c r="R34" i="11"/>
  <c r="G32" i="11"/>
  <c r="U29" i="11"/>
  <c r="AA27" i="11"/>
  <c r="AA28" i="11" s="1"/>
  <c r="M23" i="11"/>
  <c r="W20" i="11"/>
  <c r="Y17" i="11"/>
  <c r="X17" i="11"/>
  <c r="M17" i="11"/>
  <c r="Q16" i="11"/>
  <c r="Q17" i="11" s="1"/>
  <c r="AF13" i="11"/>
  <c r="R12" i="11"/>
  <c r="M9" i="11"/>
  <c r="M25" i="11" s="1"/>
  <c r="G38" i="11" s="1"/>
  <c r="Q7" i="11"/>
  <c r="T6" i="11"/>
  <c r="B5" i="11"/>
  <c r="R4" i="11"/>
  <c r="B4" i="11"/>
  <c r="Q6" i="11" l="1"/>
  <c r="I27" i="11"/>
  <c r="G27" i="11"/>
  <c r="G36" i="11" s="1"/>
  <c r="G43" i="11" s="1"/>
  <c r="Q4" i="11"/>
  <c r="M24" i="9"/>
  <c r="M9" i="9"/>
  <c r="M16" i="9"/>
  <c r="M5" i="2" l="1"/>
  <c r="M4" i="2"/>
  <c r="M6" i="2"/>
  <c r="G17" i="9" l="1"/>
  <c r="G24" i="9"/>
  <c r="H17" i="9"/>
  <c r="T47" i="9"/>
  <c r="G40" i="9"/>
  <c r="S39" i="9"/>
  <c r="R39" i="9"/>
  <c r="R33" i="9"/>
  <c r="G31" i="9"/>
  <c r="U28" i="9"/>
  <c r="AA26" i="9"/>
  <c r="AA27" i="9" s="1"/>
  <c r="M22" i="9"/>
  <c r="W19" i="9"/>
  <c r="X16" i="9"/>
  <c r="Y16" i="9" s="1"/>
  <c r="Q15" i="9"/>
  <c r="Q16" i="9" s="1"/>
  <c r="AF12" i="9"/>
  <c r="R11" i="9"/>
  <c r="Q7" i="9"/>
  <c r="T6" i="9"/>
  <c r="Q6" i="9"/>
  <c r="B5" i="9"/>
  <c r="R4" i="9"/>
  <c r="H24" i="9"/>
  <c r="B4" i="9"/>
  <c r="I26" i="9" l="1"/>
  <c r="Q4" i="9"/>
  <c r="G26" i="9"/>
  <c r="K8" i="2"/>
  <c r="L8" i="2"/>
  <c r="G37" i="9" l="1"/>
  <c r="M7" i="2"/>
  <c r="M8" i="2" s="1"/>
  <c r="G35" i="9"/>
  <c r="L9" i="2"/>
  <c r="M9" i="2" l="1"/>
  <c r="N9" i="2"/>
  <c r="G42" i="9"/>
  <c r="G17" i="10"/>
  <c r="Q6" i="10"/>
  <c r="H17" i="10"/>
  <c r="H4" i="10"/>
  <c r="T47" i="10"/>
  <c r="G40" i="10"/>
  <c r="S39" i="10"/>
  <c r="R39" i="10"/>
  <c r="R33" i="10"/>
  <c r="G31" i="10"/>
  <c r="U28" i="10"/>
  <c r="AA26" i="10"/>
  <c r="AA27" i="10" s="1"/>
  <c r="M22" i="10"/>
  <c r="W19" i="10"/>
  <c r="H24" i="10"/>
  <c r="X16" i="10"/>
  <c r="Y16" i="10" s="1"/>
  <c r="M16" i="10"/>
  <c r="M24" i="10" s="1"/>
  <c r="G37" i="10" s="1"/>
  <c r="Q15" i="10"/>
  <c r="Q16" i="10" s="1"/>
  <c r="AF12" i="10"/>
  <c r="R11" i="10"/>
  <c r="Q7" i="10"/>
  <c r="T6" i="10"/>
  <c r="B5" i="10"/>
  <c r="R4" i="10"/>
  <c r="G24" i="10"/>
  <c r="B4" i="10"/>
  <c r="I26" i="10" l="1"/>
  <c r="G26" i="10"/>
  <c r="Q4" i="10"/>
  <c r="G4" i="8"/>
  <c r="K24" i="10" l="1"/>
  <c r="G35" i="10"/>
  <c r="G42" i="10" s="1"/>
  <c r="G17" i="8"/>
  <c r="G24" i="8" s="1"/>
  <c r="H17" i="8"/>
  <c r="T47" i="8"/>
  <c r="G40" i="8"/>
  <c r="S39" i="8"/>
  <c r="R39" i="8"/>
  <c r="R33" i="8"/>
  <c r="G31" i="8"/>
  <c r="U28" i="8"/>
  <c r="AA26" i="8"/>
  <c r="AA27" i="8" s="1"/>
  <c r="M22" i="8"/>
  <c r="M24" i="8" s="1"/>
  <c r="G37" i="8" s="1"/>
  <c r="W19" i="8"/>
  <c r="H24" i="8"/>
  <c r="X16" i="8"/>
  <c r="Y16" i="8" s="1"/>
  <c r="Q16" i="8"/>
  <c r="M16" i="8"/>
  <c r="Q15" i="8"/>
  <c r="AF12" i="8"/>
  <c r="R11" i="8"/>
  <c r="Q7" i="8"/>
  <c r="T6" i="8"/>
  <c r="B5" i="8"/>
  <c r="R4" i="8"/>
  <c r="B4" i="8"/>
  <c r="Q6" i="8" l="1"/>
  <c r="G26" i="8"/>
  <c r="Q4" i="8"/>
  <c r="I26" i="8"/>
  <c r="J8" i="2"/>
  <c r="G24" i="7"/>
  <c r="H24" i="7"/>
  <c r="G17" i="7"/>
  <c r="K9" i="2" l="1"/>
  <c r="G35" i="8"/>
  <c r="G42" i="8" s="1"/>
  <c r="K24" i="8"/>
  <c r="H17" i="7"/>
  <c r="H4" i="7"/>
  <c r="T47" i="7"/>
  <c r="G40" i="7"/>
  <c r="S39" i="7"/>
  <c r="R39" i="7"/>
  <c r="R33" i="7"/>
  <c r="G31" i="7"/>
  <c r="U28" i="7"/>
  <c r="AA26" i="7"/>
  <c r="AA27" i="7" s="1"/>
  <c r="M22" i="7"/>
  <c r="W19" i="7"/>
  <c r="X16" i="7"/>
  <c r="Y16" i="7" s="1"/>
  <c r="M16" i="7"/>
  <c r="M24" i="7" s="1"/>
  <c r="G37" i="7" s="1"/>
  <c r="Q15" i="7"/>
  <c r="Q16" i="7" s="1"/>
  <c r="AF12" i="7"/>
  <c r="R11" i="7"/>
  <c r="Q7" i="7"/>
  <c r="T6" i="7"/>
  <c r="Q6" i="7"/>
  <c r="B5" i="7"/>
  <c r="R4" i="7"/>
  <c r="B4" i="7"/>
  <c r="I26" i="7" l="1"/>
  <c r="G26" i="7"/>
  <c r="Q4" i="7"/>
  <c r="I8" i="2"/>
  <c r="H24" i="6"/>
  <c r="G24" i="6"/>
  <c r="I26" i="6" s="1"/>
  <c r="G4" i="6"/>
  <c r="J9" i="2" l="1"/>
  <c r="G35" i="7"/>
  <c r="G42" i="7" s="1"/>
  <c r="K24" i="7"/>
  <c r="G17" i="6"/>
  <c r="G26" i="6" s="1"/>
  <c r="H17" i="6"/>
  <c r="T47" i="6"/>
  <c r="G40" i="6"/>
  <c r="S39" i="6"/>
  <c r="R39" i="6"/>
  <c r="R33" i="6"/>
  <c r="G31" i="6"/>
  <c r="U28" i="6"/>
  <c r="AA26" i="6"/>
  <c r="AA27" i="6" s="1"/>
  <c r="M22" i="6"/>
  <c r="W19" i="6"/>
  <c r="Q6" i="6"/>
  <c r="Y16" i="6"/>
  <c r="X16" i="6"/>
  <c r="M16" i="6"/>
  <c r="M24" i="6" s="1"/>
  <c r="G37" i="6" s="1"/>
  <c r="Q15" i="6"/>
  <c r="Q16" i="6" s="1"/>
  <c r="AF12" i="6"/>
  <c r="R11" i="6"/>
  <c r="Q7" i="6"/>
  <c r="T6" i="6"/>
  <c r="B5" i="6"/>
  <c r="R4" i="6"/>
  <c r="B4" i="6"/>
  <c r="G35" i="6" l="1"/>
  <c r="G42" i="6" s="1"/>
  <c r="K24" i="6"/>
  <c r="Q4" i="6"/>
  <c r="H8" i="2"/>
  <c r="I9" i="2" s="1"/>
  <c r="G17" i="5" l="1"/>
  <c r="H17" i="5"/>
  <c r="T47" i="5"/>
  <c r="G40" i="5"/>
  <c r="S39" i="5"/>
  <c r="R39" i="5"/>
  <c r="R33" i="5"/>
  <c r="G31" i="5"/>
  <c r="U28" i="5"/>
  <c r="AA26" i="5"/>
  <c r="AA27" i="5" s="1"/>
  <c r="M22" i="5"/>
  <c r="W19" i="5"/>
  <c r="Q6" i="5"/>
  <c r="X16" i="5"/>
  <c r="Y16" i="5" s="1"/>
  <c r="M16" i="5"/>
  <c r="M24" i="5" s="1"/>
  <c r="G37" i="5" s="1"/>
  <c r="Q15" i="5"/>
  <c r="Q16" i="5" s="1"/>
  <c r="AF12" i="5"/>
  <c r="R11" i="5"/>
  <c r="Q7" i="5"/>
  <c r="T6" i="5"/>
  <c r="B5" i="5"/>
  <c r="R4" i="5"/>
  <c r="B4" i="5"/>
  <c r="G24" i="5" l="1"/>
  <c r="G26" i="5" l="1"/>
  <c r="Q4" i="5"/>
  <c r="G6" i="2"/>
  <c r="G17" i="4"/>
  <c r="T47" i="4"/>
  <c r="G40" i="4"/>
  <c r="S39" i="4"/>
  <c r="R39" i="4"/>
  <c r="R33" i="4"/>
  <c r="G31" i="4"/>
  <c r="U28" i="4"/>
  <c r="AA26" i="4"/>
  <c r="AA27" i="4" s="1"/>
  <c r="G24" i="4"/>
  <c r="G26" i="4" s="1"/>
  <c r="M22" i="4"/>
  <c r="W19" i="4"/>
  <c r="H17" i="4"/>
  <c r="Q6" i="4"/>
  <c r="X16" i="4"/>
  <c r="Y16" i="4" s="1"/>
  <c r="M16" i="4"/>
  <c r="Q15" i="4"/>
  <c r="Q16" i="4" s="1"/>
  <c r="AF12" i="4"/>
  <c r="R11" i="4"/>
  <c r="Q7" i="4"/>
  <c r="T6" i="4"/>
  <c r="B5" i="4"/>
  <c r="R4" i="4"/>
  <c r="B4" i="4"/>
  <c r="M24" i="4" l="1"/>
  <c r="G35" i="5"/>
  <c r="G42" i="5" s="1"/>
  <c r="K24" i="5"/>
  <c r="K24" i="4"/>
  <c r="G35" i="4"/>
  <c r="Q4" i="4"/>
  <c r="G17" i="3"/>
  <c r="G37" i="4" l="1"/>
  <c r="G42" i="4" s="1"/>
  <c r="G7" i="2"/>
  <c r="G8" i="2" s="1"/>
  <c r="H9" i="2" l="1"/>
  <c r="H17" i="3"/>
  <c r="T47" i="3"/>
  <c r="G40" i="3"/>
  <c r="S39" i="3"/>
  <c r="R39" i="3"/>
  <c r="R33" i="3"/>
  <c r="G31" i="3"/>
  <c r="U28" i="3"/>
  <c r="AA26" i="3"/>
  <c r="AA27" i="3" s="1"/>
  <c r="G24" i="3"/>
  <c r="M22" i="3"/>
  <c r="W19" i="3"/>
  <c r="Q6" i="3"/>
  <c r="X16" i="3"/>
  <c r="Y16" i="3" s="1"/>
  <c r="M16" i="3"/>
  <c r="Q15" i="3"/>
  <c r="Q16" i="3" s="1"/>
  <c r="AF12" i="3"/>
  <c r="R11" i="3"/>
  <c r="H24" i="3"/>
  <c r="Q7" i="3"/>
  <c r="T6" i="3"/>
  <c r="B5" i="3"/>
  <c r="R4" i="3"/>
  <c r="B4" i="3"/>
  <c r="M24" i="3" l="1"/>
  <c r="G37" i="3" s="1"/>
  <c r="Q4" i="3"/>
  <c r="F6" i="2"/>
  <c r="F8" i="2" s="1"/>
  <c r="G26" i="3"/>
  <c r="E8" i="2"/>
  <c r="D8" i="2"/>
  <c r="F9" i="2" l="1"/>
  <c r="G9" i="2"/>
  <c r="E9" i="2"/>
  <c r="G35" i="3"/>
  <c r="G42" i="3" s="1"/>
  <c r="K24" i="3"/>
  <c r="G17" i="1"/>
  <c r="H17" i="1"/>
  <c r="H11" i="1"/>
  <c r="H24" i="1" s="1"/>
  <c r="T47" i="1"/>
  <c r="G40" i="1"/>
  <c r="S39" i="1"/>
  <c r="R39" i="1"/>
  <c r="R33" i="1"/>
  <c r="G31" i="1"/>
  <c r="U28" i="1"/>
  <c r="AA26" i="1"/>
  <c r="AA27" i="1" s="1"/>
  <c r="M22" i="1"/>
  <c r="W19" i="1"/>
  <c r="Y16" i="1"/>
  <c r="X16" i="1"/>
  <c r="M16" i="1"/>
  <c r="Q15" i="1"/>
  <c r="Q16" i="1" s="1"/>
  <c r="AF12" i="1"/>
  <c r="R11" i="1"/>
  <c r="G24" i="1"/>
  <c r="Q7" i="1"/>
  <c r="T6" i="1"/>
  <c r="Q6" i="1"/>
  <c r="B5" i="1"/>
  <c r="R4" i="1"/>
  <c r="B4" i="1"/>
  <c r="M24" i="1" l="1"/>
  <c r="G37" i="1" s="1"/>
  <c r="G26" i="1"/>
  <c r="Q4" i="1"/>
  <c r="G35" i="1" l="1"/>
  <c r="G42" i="1" s="1"/>
  <c r="K24" i="1"/>
  <c r="AA5" i="2" l="1"/>
  <c r="AA8" i="2" s="1"/>
  <c r="AA9" i="2" l="1"/>
  <c r="AB9" i="2"/>
  <c r="I12" i="56" l="1"/>
  <c r="G25" i="56"/>
  <c r="J25" i="56" s="1"/>
  <c r="G26" i="62" l="1"/>
  <c r="J26" i="62" s="1"/>
  <c r="BO4" i="2"/>
  <c r="BO8" i="2" s="1"/>
  <c r="BO9" i="2" l="1"/>
  <c r="BP9" i="2"/>
  <c r="AE5" i="2" l="1"/>
  <c r="AE8" i="2" s="1"/>
  <c r="AF9" i="2" l="1"/>
  <c r="AE9" i="2"/>
  <c r="V5" i="2" l="1"/>
  <c r="V8" i="2" s="1"/>
  <c r="W9" i="2" l="1"/>
  <c r="V9" i="2"/>
</calcChain>
</file>

<file path=xl/sharedStrings.xml><?xml version="1.0" encoding="utf-8"?>
<sst xmlns="http://schemas.openxmlformats.org/spreadsheetml/2006/main" count="10086" uniqueCount="194">
  <si>
    <t>Liquid Assests</t>
  </si>
  <si>
    <t xml:space="preserve">Read This </t>
  </si>
  <si>
    <t>Tied Assests</t>
  </si>
  <si>
    <t>Prod</t>
  </si>
  <si>
    <t>Where</t>
  </si>
  <si>
    <t>Who</t>
  </si>
  <si>
    <t>Amount</t>
  </si>
  <si>
    <t>At Risk</t>
  </si>
  <si>
    <t>Not a Risk - Cash</t>
  </si>
  <si>
    <t>ISA</t>
  </si>
  <si>
    <t>Ford</t>
  </si>
  <si>
    <t>JG</t>
  </si>
  <si>
    <t>Jenny</t>
  </si>
  <si>
    <t>Share Price</t>
  </si>
  <si>
    <t>MG</t>
  </si>
  <si>
    <t>Faye</t>
  </si>
  <si>
    <t>this is 17k + 5K</t>
  </si>
  <si>
    <t>Exchange</t>
  </si>
  <si>
    <t>NSI</t>
  </si>
  <si>
    <t>FundSmith</t>
  </si>
  <si>
    <t>Nik</t>
  </si>
  <si>
    <t>155K</t>
  </si>
  <si>
    <t>Med</t>
  </si>
  <si>
    <t>Share</t>
  </si>
  <si>
    <t>*</t>
  </si>
  <si>
    <t>Hargrevaes Lansdown</t>
  </si>
  <si>
    <t>High</t>
  </si>
  <si>
    <t>Intractive Investor</t>
  </si>
  <si>
    <t>Bakkovor Now III</t>
  </si>
  <si>
    <t>Coinbase</t>
  </si>
  <si>
    <t>lister st</t>
  </si>
  <si>
    <t>Current account - Inv, Currt and Holid</t>
  </si>
  <si>
    <t>Nat West Invest/Holiday - Not EX, Not Prop, Not Current below 4K</t>
  </si>
  <si>
    <t>Phil</t>
  </si>
  <si>
    <t>Invest</t>
  </si>
  <si>
    <t>Premium Bonds</t>
  </si>
  <si>
    <t>Post Office</t>
  </si>
  <si>
    <t>House</t>
  </si>
  <si>
    <t>2bed</t>
  </si>
  <si>
    <t>BH</t>
  </si>
  <si>
    <t>FG</t>
  </si>
  <si>
    <t>Q3</t>
  </si>
  <si>
    <t>Q2</t>
  </si>
  <si>
    <t>3bed</t>
  </si>
  <si>
    <t>EDSP</t>
  </si>
  <si>
    <t>Computershare</t>
  </si>
  <si>
    <t>Total</t>
  </si>
  <si>
    <t xml:space="preserve">Trading Acocunt </t>
  </si>
  <si>
    <t>III ( both JG and MG)</t>
  </si>
  <si>
    <t>MGJG</t>
  </si>
  <si>
    <t>OWN SAP</t>
  </si>
  <si>
    <t>SAP Shares</t>
  </si>
  <si>
    <t>1 free</t>
  </si>
  <si>
    <t>5 p 3y 3g</t>
  </si>
  <si>
    <t>B3K3G1</t>
  </si>
  <si>
    <t>Potential Balance</t>
  </si>
  <si>
    <t xml:space="preserve">Not so liquid </t>
  </si>
  <si>
    <t>Actual</t>
  </si>
  <si>
    <t>31st Dec</t>
  </si>
  <si>
    <t>Aston</t>
  </si>
  <si>
    <t>Sold</t>
  </si>
  <si>
    <t>Golf R</t>
  </si>
  <si>
    <t>Value</t>
  </si>
  <si>
    <t>Motor Bike</t>
  </si>
  <si>
    <t>Santandar</t>
  </si>
  <si>
    <t>Less CC Debit</t>
  </si>
  <si>
    <t>Sub Total</t>
  </si>
  <si>
    <t>Q1</t>
  </si>
  <si>
    <t>phil</t>
  </si>
  <si>
    <t>Tied Assetts</t>
  </si>
  <si>
    <t>Q4</t>
  </si>
  <si>
    <t>less mortgage</t>
  </si>
  <si>
    <t>Budget</t>
  </si>
  <si>
    <t>RN Pension</t>
  </si>
  <si>
    <t>Nett Worth</t>
  </si>
  <si>
    <t xml:space="preserve">Nissan </t>
  </si>
  <si>
    <t>GSR Capital</t>
  </si>
  <si>
    <t>Base</t>
  </si>
  <si>
    <t>Save</t>
  </si>
  <si>
    <t>Extra</t>
  </si>
  <si>
    <t>Pension MG</t>
  </si>
  <si>
    <t>Pension JG</t>
  </si>
  <si>
    <t>Investments/Cash</t>
  </si>
  <si>
    <t>Tied Assets</t>
  </si>
  <si>
    <t>End of</t>
  </si>
  <si>
    <t xml:space="preserve">March </t>
  </si>
  <si>
    <t>April</t>
  </si>
  <si>
    <t>Cash</t>
  </si>
  <si>
    <t>May</t>
  </si>
  <si>
    <t>June</t>
  </si>
  <si>
    <t>July</t>
  </si>
  <si>
    <t>August</t>
  </si>
  <si>
    <t>September</t>
  </si>
  <si>
    <t>Les and Jon</t>
  </si>
  <si>
    <t>30th June</t>
  </si>
  <si>
    <t>31st July</t>
  </si>
  <si>
    <t>31st Aug</t>
  </si>
  <si>
    <t>FTSE 100</t>
  </si>
  <si>
    <t>1st October</t>
  </si>
  <si>
    <t>Now CfD</t>
  </si>
  <si>
    <t>October</t>
  </si>
  <si>
    <t>November</t>
  </si>
  <si>
    <t>31/21/2020</t>
  </si>
  <si>
    <t>December</t>
  </si>
  <si>
    <t>Rented Properties</t>
  </si>
  <si>
    <t>Family Loans</t>
  </si>
  <si>
    <t>Jan</t>
  </si>
  <si>
    <t>ClearWaterCapital</t>
  </si>
  <si>
    <t>Bakkovor Now Jarvis</t>
  </si>
  <si>
    <t>Feb</t>
  </si>
  <si>
    <t>equateplus.com</t>
  </si>
  <si>
    <t xml:space="preserve">Trading Account </t>
  </si>
  <si>
    <t>Mar</t>
  </si>
  <si>
    <t>Cars</t>
  </si>
  <si>
    <t>Yeti</t>
  </si>
  <si>
    <t>Bakkovor Now Jarvis but ISA</t>
  </si>
  <si>
    <t>b</t>
  </si>
  <si>
    <t>???</t>
  </si>
  <si>
    <t xml:space="preserve"> Now Jarvis but ISA</t>
  </si>
  <si>
    <t>MG ClearWaterCapital inc ISA</t>
  </si>
  <si>
    <t>JG ClearWaterCapital</t>
  </si>
  <si>
    <t>ECC</t>
  </si>
  <si>
    <t>Golf</t>
  </si>
  <si>
    <t>Move SAP</t>
  </si>
  <si>
    <t>E-type</t>
  </si>
  <si>
    <t>31/09/2023</t>
  </si>
  <si>
    <t>January</t>
  </si>
  <si>
    <t>Febuary</t>
  </si>
  <si>
    <t>March</t>
  </si>
  <si>
    <t>NW</t>
  </si>
  <si>
    <t>HSBC</t>
  </si>
  <si>
    <t>SAP II</t>
  </si>
  <si>
    <t>FundSmith ISA</t>
  </si>
  <si>
    <t>SAP Ineractive Investor(II)</t>
  </si>
  <si>
    <t>Gary Ford</t>
  </si>
  <si>
    <t xml:space="preserve">II  </t>
  </si>
  <si>
    <t>Clear Water</t>
  </si>
  <si>
    <t>25% Pension</t>
  </si>
  <si>
    <t>Bonus</t>
  </si>
  <si>
    <t>Values</t>
  </si>
  <si>
    <t>Item</t>
  </si>
  <si>
    <t>Shares Sale</t>
  </si>
  <si>
    <t>Account</t>
  </si>
  <si>
    <t>AMEX</t>
  </si>
  <si>
    <t>BC</t>
  </si>
  <si>
    <t>Living</t>
  </si>
  <si>
    <t>Josh</t>
  </si>
  <si>
    <t>RSU Transfer</t>
  </si>
  <si>
    <t>Clear Water Capital VINANZ</t>
  </si>
  <si>
    <t>NSandI</t>
  </si>
  <si>
    <t>Spends</t>
  </si>
  <si>
    <t>total</t>
  </si>
  <si>
    <t>Bank</t>
  </si>
  <si>
    <t>L&amp;G</t>
  </si>
  <si>
    <t>F&amp;H Platform</t>
  </si>
  <si>
    <t>Cash ISA JG</t>
  </si>
  <si>
    <t>Cash ISA MG</t>
  </si>
  <si>
    <t>Running Cost  25</t>
  </si>
  <si>
    <t>Running Cost  26</t>
  </si>
  <si>
    <t>Car</t>
  </si>
  <si>
    <t>Put in Bank not ISA</t>
  </si>
  <si>
    <t>Nat West Capital Account</t>
  </si>
  <si>
    <t>Nat West ISA MG</t>
  </si>
  <si>
    <t>Nat West ISA JG</t>
  </si>
  <si>
    <t>Both</t>
  </si>
  <si>
    <t>ORA</t>
  </si>
  <si>
    <t>JG Cash on Clear Water</t>
  </si>
  <si>
    <t>MG Cash on Clear Water</t>
  </si>
  <si>
    <t>SAP Now CWC</t>
  </si>
  <si>
    <t>JG ClearWaterCapital inc ISA</t>
  </si>
  <si>
    <t>Unlock</t>
  </si>
  <si>
    <t>JG ClearWaterCapital inc GIA</t>
  </si>
  <si>
    <t>MG ClearWaterCapital inc GIA</t>
  </si>
  <si>
    <t>257,9</t>
  </si>
  <si>
    <t>Pure Cash</t>
  </si>
  <si>
    <t>SAP</t>
  </si>
  <si>
    <t>High Risk</t>
  </si>
  <si>
    <t>Locked Risk</t>
  </si>
  <si>
    <t>TF</t>
  </si>
  <si>
    <t>Risk Level</t>
  </si>
  <si>
    <t>Low</t>
  </si>
  <si>
    <t>Very Low</t>
  </si>
  <si>
    <t>Medium</t>
  </si>
  <si>
    <t>%</t>
  </si>
  <si>
    <t>Medium Risk</t>
  </si>
  <si>
    <t>TP Inv ISA</t>
  </si>
  <si>
    <t>3k Aug</t>
  </si>
  <si>
    <t>31/10`/2025</t>
  </si>
  <si>
    <t>31/11/2025</t>
  </si>
  <si>
    <t>Intractive Investor Trading</t>
  </si>
  <si>
    <t>Intractive Investor ISA</t>
  </si>
  <si>
    <t>GIA Cash</t>
  </si>
  <si>
    <t>ISA Cash</t>
  </si>
  <si>
    <t>CWC ISA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</si>
</sst>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trike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7">
    <xf numFmtId="0" fontId="0" fillId="0" borderId="0" xfId="0"/>
    <xf numFmtId="16" fontId="0" fillId="0" borderId="0" xfId="0" applyNumberFormat="1"/>
    <xf numFmtId="0" fontId="0" fillId="5" borderId="0" xfId="0" applyFill="1"/>
    <xf numFmtId="0" fontId="4" fillId="0" borderId="0" xfId="0" applyFont="1"/>
    <xf numFmtId="3" fontId="4" fillId="0" borderId="0" xfId="0" applyNumberFormat="1" applyFont="1"/>
    <xf numFmtId="3" fontId="0" fillId="6" borderId="0" xfId="0" applyNumberFormat="1" applyFill="1"/>
    <xf numFmtId="3" fontId="0" fillId="7" borderId="0" xfId="0" applyNumberFormat="1" applyFill="1"/>
    <xf numFmtId="3" fontId="0" fillId="0" borderId="0" xfId="0" applyNumberFormat="1"/>
    <xf numFmtId="0" fontId="5" fillId="0" borderId="0" xfId="0" applyFont="1"/>
    <xf numFmtId="0" fontId="0" fillId="7" borderId="0" xfId="0" applyFill="1"/>
    <xf numFmtId="3" fontId="0" fillId="8" borderId="0" xfId="0" applyNumberFormat="1" applyFill="1"/>
    <xf numFmtId="3" fontId="3" fillId="0" borderId="0" xfId="3" applyNumberFormat="1" applyFill="1"/>
    <xf numFmtId="17" fontId="0" fillId="0" borderId="0" xfId="0" applyNumberFormat="1"/>
    <xf numFmtId="3" fontId="6" fillId="7" borderId="0" xfId="1" applyNumberFormat="1" applyFont="1" applyFill="1"/>
    <xf numFmtId="0" fontId="2" fillId="0" borderId="0" xfId="2" applyFill="1"/>
    <xf numFmtId="0" fontId="1" fillId="2" borderId="0" xfId="1"/>
    <xf numFmtId="3" fontId="6" fillId="6" borderId="0" xfId="1" applyNumberFormat="1" applyFont="1" applyFill="1"/>
    <xf numFmtId="3" fontId="0" fillId="0" borderId="1" xfId="0" applyNumberFormat="1" applyBorder="1"/>
    <xf numFmtId="3" fontId="2" fillId="0" borderId="0" xfId="2" applyNumberFormat="1" applyFill="1"/>
    <xf numFmtId="17" fontId="2" fillId="0" borderId="0" xfId="2" applyNumberFormat="1" applyFill="1"/>
    <xf numFmtId="2" fontId="2" fillId="0" borderId="0" xfId="2" applyNumberFormat="1" applyFill="1"/>
    <xf numFmtId="14" fontId="2" fillId="0" borderId="0" xfId="2" applyNumberFormat="1" applyFill="1"/>
    <xf numFmtId="3" fontId="4" fillId="0" borderId="1" xfId="0" applyNumberFormat="1" applyFont="1" applyBorder="1"/>
    <xf numFmtId="0" fontId="5" fillId="6" borderId="0" xfId="0" applyFont="1" applyFill="1"/>
    <xf numFmtId="0" fontId="0" fillId="6" borderId="0" xfId="0" applyFill="1"/>
    <xf numFmtId="0" fontId="0" fillId="0" borderId="1" xfId="0" applyBorder="1"/>
    <xf numFmtId="1" fontId="0" fillId="0" borderId="0" xfId="0" applyNumberFormat="1"/>
    <xf numFmtId="1" fontId="2" fillId="3" borderId="0" xfId="2" applyNumberFormat="1"/>
    <xf numFmtId="16" fontId="4" fillId="0" borderId="0" xfId="0" applyNumberFormat="1" applyFont="1"/>
    <xf numFmtId="3" fontId="6" fillId="0" borderId="0" xfId="1" applyNumberFormat="1" applyFont="1" applyFill="1"/>
    <xf numFmtId="0" fontId="0" fillId="9" borderId="0" xfId="0" applyFill="1"/>
    <xf numFmtId="3" fontId="0" fillId="9" borderId="0" xfId="0" applyNumberFormat="1" applyFill="1"/>
    <xf numFmtId="14" fontId="0" fillId="0" borderId="0" xfId="0" applyNumberFormat="1"/>
    <xf numFmtId="16" fontId="2" fillId="0" borderId="0" xfId="2" applyNumberFormat="1" applyFill="1"/>
    <xf numFmtId="0" fontId="0" fillId="10" borderId="0" xfId="0" applyFill="1"/>
    <xf numFmtId="3" fontId="0" fillId="11" borderId="0" xfId="0" applyNumberFormat="1" applyFill="1"/>
    <xf numFmtId="0" fontId="8" fillId="0" borderId="0" xfId="0" applyFont="1"/>
    <xf numFmtId="3" fontId="6" fillId="12" borderId="0" xfId="1" applyNumberFormat="1" applyFont="1" applyFill="1"/>
    <xf numFmtId="3" fontId="0" fillId="12" borderId="0" xfId="0" applyNumberFormat="1" applyFill="1"/>
    <xf numFmtId="0" fontId="0" fillId="12" borderId="0" xfId="0" applyFill="1"/>
    <xf numFmtId="3" fontId="6" fillId="10" borderId="0" xfId="1" applyNumberFormat="1" applyFont="1" applyFill="1"/>
    <xf numFmtId="3" fontId="0" fillId="13" borderId="0" xfId="0" applyNumberFormat="1" applyFill="1"/>
    <xf numFmtId="0" fontId="9" fillId="0" borderId="0" xfId="0" applyFont="1"/>
    <xf numFmtId="0" fontId="11" fillId="0" borderId="0" xfId="0" applyFont="1"/>
    <xf numFmtId="0" fontId="10" fillId="0" borderId="0" xfId="0" applyFont="1"/>
    <xf numFmtId="3" fontId="10" fillId="0" borderId="0" xfId="0" applyNumberFormat="1" applyFont="1"/>
    <xf numFmtId="0" fontId="12" fillId="0" borderId="0" xfId="0" applyFont="1"/>
    <xf numFmtId="0" fontId="0" fillId="0" borderId="2" xfId="0" applyBorder="1"/>
    <xf numFmtId="3" fontId="0" fillId="14" borderId="0" xfId="0" applyNumberFormat="1" applyFill="1"/>
    <xf numFmtId="0" fontId="0" fillId="15" borderId="0" xfId="0" applyFill="1"/>
    <xf numFmtId="3" fontId="6" fillId="0" borderId="0" xfId="0" applyNumberFormat="1" applyFont="1"/>
    <xf numFmtId="1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3" fontId="0" fillId="16" borderId="0" xfId="0" applyNumberFormat="1" applyFill="1"/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7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2945482ed0d909/Documents/Personnal_Folders/Personnal_Folders/Personal%20Finance/Other/Pension%20Values.xlsx" TargetMode="External"/><Relationship Id="rId1" Type="http://schemas.openxmlformats.org/officeDocument/2006/relationships/externalLinkPath" Target="Pension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 Limits"/>
      <sheetName val="2026"/>
      <sheetName val="2025"/>
      <sheetName val="2024"/>
      <sheetName val="2023"/>
      <sheetName val="2022"/>
      <sheetName val="Remploy Pension Options"/>
      <sheetName val="2021"/>
      <sheetName val="2020"/>
      <sheetName val="2019"/>
      <sheetName val="2018"/>
      <sheetName val="2017"/>
    </sheetNames>
    <sheetDataSet>
      <sheetData sheetId="0"/>
      <sheetData sheetId="1">
        <row r="6">
          <cell r="D6">
            <v>977345</v>
          </cell>
          <cell r="E6">
            <v>1000208</v>
          </cell>
        </row>
        <row r="16">
          <cell r="D16">
            <v>95638</v>
          </cell>
          <cell r="E16">
            <v>98202</v>
          </cell>
        </row>
      </sheetData>
      <sheetData sheetId="2">
        <row r="7">
          <cell r="D7">
            <v>946224</v>
          </cell>
          <cell r="E7">
            <v>931672</v>
          </cell>
          <cell r="F7">
            <v>908398</v>
          </cell>
          <cell r="G7">
            <v>851387</v>
          </cell>
          <cell r="H7">
            <v>877736</v>
          </cell>
          <cell r="I7">
            <v>886798</v>
          </cell>
          <cell r="J7">
            <v>923066</v>
          </cell>
          <cell r="K7">
            <v>924946</v>
          </cell>
          <cell r="L7">
            <v>944106</v>
          </cell>
          <cell r="M7">
            <v>978929</v>
          </cell>
          <cell r="O7">
            <v>971986</v>
          </cell>
        </row>
        <row r="14">
          <cell r="I14">
            <v>85382</v>
          </cell>
          <cell r="M14">
            <v>93054</v>
          </cell>
        </row>
        <row r="18">
          <cell r="D18">
            <v>79240</v>
          </cell>
          <cell r="E18">
            <v>78678</v>
          </cell>
          <cell r="F18">
            <v>77073</v>
          </cell>
          <cell r="G18">
            <v>78498</v>
          </cell>
          <cell r="H18">
            <v>81311</v>
          </cell>
          <cell r="J18">
            <v>87378</v>
          </cell>
          <cell r="K18">
            <v>88841</v>
          </cell>
          <cell r="L18">
            <v>90639</v>
          </cell>
          <cell r="O18">
            <v>93472</v>
          </cell>
        </row>
      </sheetData>
      <sheetData sheetId="3">
        <row r="7">
          <cell r="D7">
            <v>1013736</v>
          </cell>
          <cell r="F7">
            <v>1080515</v>
          </cell>
          <cell r="G7">
            <v>1076234</v>
          </cell>
          <cell r="H7">
            <v>1085183</v>
          </cell>
          <cell r="I7">
            <v>1099247</v>
          </cell>
          <cell r="J7">
            <v>1104281</v>
          </cell>
          <cell r="K7">
            <v>1126763</v>
          </cell>
          <cell r="L7">
            <v>1144057</v>
          </cell>
          <cell r="O7">
            <v>923038</v>
          </cell>
        </row>
        <row r="14">
          <cell r="F14">
            <v>73073</v>
          </cell>
          <cell r="H14">
            <v>74336</v>
          </cell>
          <cell r="I14">
            <v>75211</v>
          </cell>
          <cell r="O14">
            <v>76863</v>
          </cell>
        </row>
        <row r="18">
          <cell r="D18">
            <v>70360</v>
          </cell>
          <cell r="E18">
            <v>71304</v>
          </cell>
          <cell r="G18">
            <v>72982</v>
          </cell>
          <cell r="J18">
            <v>75357</v>
          </cell>
          <cell r="K18">
            <v>76384</v>
          </cell>
          <cell r="L18">
            <v>76994</v>
          </cell>
        </row>
      </sheetData>
      <sheetData sheetId="4">
        <row r="7">
          <cell r="K7">
            <v>962973</v>
          </cell>
        </row>
        <row r="14">
          <cell r="K14">
            <v>67525</v>
          </cell>
          <cell r="O14">
            <v>70331</v>
          </cell>
        </row>
      </sheetData>
      <sheetData sheetId="5">
        <row r="7">
          <cell r="E7">
            <v>929652</v>
          </cell>
          <cell r="F7">
            <v>938686</v>
          </cell>
          <cell r="G7">
            <v>926753</v>
          </cell>
          <cell r="H7">
            <v>921005</v>
          </cell>
          <cell r="I7">
            <v>902508</v>
          </cell>
          <cell r="J7">
            <v>923824</v>
          </cell>
          <cell r="M7">
            <v>895266</v>
          </cell>
          <cell r="N7">
            <v>917397</v>
          </cell>
          <cell r="O7">
            <v>910124</v>
          </cell>
        </row>
        <row r="18">
          <cell r="E18">
            <v>64604</v>
          </cell>
          <cell r="F18">
            <v>65118</v>
          </cell>
          <cell r="G18">
            <v>67005</v>
          </cell>
          <cell r="H18">
            <v>67619</v>
          </cell>
          <cell r="I18">
            <v>65842</v>
          </cell>
          <cell r="J18">
            <v>66791</v>
          </cell>
          <cell r="M18">
            <v>63471</v>
          </cell>
          <cell r="N18">
            <v>65414</v>
          </cell>
          <cell r="O18">
            <v>64574</v>
          </cell>
        </row>
      </sheetData>
      <sheetData sheetId="6"/>
      <sheetData sheetId="7">
        <row r="7">
          <cell r="I7">
            <v>885963</v>
          </cell>
          <cell r="J7">
            <v>893254</v>
          </cell>
          <cell r="K7">
            <v>906496</v>
          </cell>
          <cell r="L7">
            <v>909943</v>
          </cell>
          <cell r="M7">
            <v>923196</v>
          </cell>
          <cell r="N7">
            <v>933046</v>
          </cell>
          <cell r="O7">
            <v>945538</v>
          </cell>
          <cell r="P7">
            <v>934241</v>
          </cell>
          <cell r="Q7">
            <v>943795</v>
          </cell>
        </row>
        <row r="23">
          <cell r="I23">
            <v>63397</v>
          </cell>
          <cell r="J23">
            <v>61193</v>
          </cell>
          <cell r="K23">
            <v>62679</v>
          </cell>
          <cell r="L23">
            <v>62942</v>
          </cell>
          <cell r="M23">
            <v>63348</v>
          </cell>
          <cell r="N23">
            <v>63448</v>
          </cell>
          <cell r="O23">
            <v>64244</v>
          </cell>
          <cell r="P23">
            <v>63388</v>
          </cell>
          <cell r="Q23">
            <v>63696</v>
          </cell>
        </row>
      </sheetData>
      <sheetData sheetId="8">
        <row r="7">
          <cell r="Q7">
            <v>863512</v>
          </cell>
        </row>
        <row r="23">
          <cell r="Q23">
            <v>60128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9BEF-F93B-499F-A3B7-A97B323669D0}">
  <dimension ref="A1:AF47"/>
  <sheetViews>
    <sheetView topLeftCell="E1" workbookViewId="0">
      <selection activeCell="G3" sqref="G3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28">
        <v>43951</v>
      </c>
      <c r="H3" s="28">
        <v>43920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6">
        <v>30657</v>
      </c>
      <c r="H4" s="5">
        <v>28871</v>
      </c>
      <c r="I4" s="3"/>
      <c r="J4" t="s">
        <v>12</v>
      </c>
      <c r="M4">
        <v>0</v>
      </c>
      <c r="Q4" s="7">
        <f>G24-R4</f>
        <v>266541</v>
      </c>
      <c r="R4" s="7">
        <f>SUM(G11:G15)</f>
        <v>236100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6">
        <v>30657</v>
      </c>
      <c r="H5" s="5">
        <v>28871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6">
        <v>7491</v>
      </c>
      <c r="H6" s="5">
        <v>6902</v>
      </c>
      <c r="I6" s="3"/>
      <c r="J6" s="8" t="s">
        <v>20</v>
      </c>
      <c r="M6">
        <v>5000</v>
      </c>
      <c r="N6" s="8" t="s">
        <v>21</v>
      </c>
      <c r="P6" t="s">
        <v>22</v>
      </c>
      <c r="Q6" s="7">
        <f>G4+G5+G16+G17+G18</f>
        <v>246723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6">
        <v>1091</v>
      </c>
      <c r="H7" s="5">
        <v>887</v>
      </c>
      <c r="I7" s="3"/>
      <c r="J7" s="8"/>
      <c r="N7" s="8"/>
      <c r="P7" t="s">
        <v>26</v>
      </c>
      <c r="Q7" s="7">
        <f>SUM(G6:G10)</f>
        <v>19818</v>
      </c>
    </row>
    <row r="8" spans="1:32" x14ac:dyDescent="0.35">
      <c r="C8" t="s">
        <v>24</v>
      </c>
      <c r="D8" s="8" t="s">
        <v>27</v>
      </c>
      <c r="G8" s="9">
        <v>10718</v>
      </c>
      <c r="H8" s="9">
        <v>9320</v>
      </c>
      <c r="I8" s="3"/>
      <c r="J8" s="8"/>
      <c r="N8" s="8"/>
    </row>
    <row r="9" spans="1:32" x14ac:dyDescent="0.35">
      <c r="C9" t="s">
        <v>24</v>
      </c>
      <c r="D9" s="8" t="s">
        <v>28</v>
      </c>
      <c r="G9" s="10">
        <v>367</v>
      </c>
      <c r="H9" s="5">
        <v>552</v>
      </c>
      <c r="I9" s="3"/>
      <c r="J9" s="8"/>
      <c r="N9" s="8"/>
    </row>
    <row r="10" spans="1:32" x14ac:dyDescent="0.35">
      <c r="C10" t="s">
        <v>24</v>
      </c>
      <c r="D10" s="8" t="s">
        <v>29</v>
      </c>
      <c r="G10" s="6">
        <v>151</v>
      </c>
      <c r="H10" s="6">
        <v>100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 s="6">
        <v>75000</v>
      </c>
      <c r="H11" s="6">
        <f>66000+8000</f>
        <v>74000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13">
        <v>50000</v>
      </c>
      <c r="H12" s="13">
        <v>50000</v>
      </c>
      <c r="I12" s="3"/>
      <c r="J12" s="8" t="s">
        <v>37</v>
      </c>
      <c r="K12" s="8" t="s">
        <v>38</v>
      </c>
      <c r="M12" s="7">
        <v>37000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 s="13">
        <v>11100</v>
      </c>
      <c r="H13" s="13">
        <v>10950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13">
        <v>50000</v>
      </c>
      <c r="H14" s="13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13">
        <v>50000</v>
      </c>
      <c r="H15" s="13">
        <v>50000</v>
      </c>
      <c r="I15" s="3"/>
      <c r="J15" s="8" t="s">
        <v>37</v>
      </c>
      <c r="K15" s="8" t="s">
        <v>43</v>
      </c>
      <c r="M15" s="7">
        <v>35000</v>
      </c>
      <c r="Q15">
        <f>G4*2</f>
        <v>61314</v>
      </c>
    </row>
    <row r="16" spans="1:32" ht="15" thickBot="1" x14ac:dyDescent="0.4">
      <c r="A16" s="15">
        <v>766</v>
      </c>
      <c r="B16" s="15">
        <v>766</v>
      </c>
      <c r="C16" s="14">
        <v>523</v>
      </c>
      <c r="D16" t="s">
        <v>44</v>
      </c>
      <c r="E16" t="s">
        <v>45</v>
      </c>
      <c r="F16" t="s">
        <v>14</v>
      </c>
      <c r="G16" s="13">
        <v>72611</v>
      </c>
      <c r="H16" s="16">
        <v>69937</v>
      </c>
      <c r="I16" s="3"/>
      <c r="J16" s="8" t="s">
        <v>46</v>
      </c>
      <c r="M16" s="17">
        <f>SUM(M4:M15)</f>
        <v>100500</v>
      </c>
      <c r="N16">
        <v>73707</v>
      </c>
      <c r="Q16">
        <f>Q14-Q15</f>
        <v>19973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6">
        <f>23291*2</f>
        <v>46582</v>
      </c>
      <c r="H17" s="5">
        <f>22512+23423</f>
        <v>45935</v>
      </c>
      <c r="I17" s="3"/>
    </row>
    <row r="18" spans="1:27" x14ac:dyDescent="0.35">
      <c r="A18" s="15">
        <v>597</v>
      </c>
      <c r="B18" s="15">
        <v>555</v>
      </c>
      <c r="C18">
        <v>684</v>
      </c>
      <c r="D18" t="s">
        <v>50</v>
      </c>
      <c r="F18" t="s">
        <v>14</v>
      </c>
      <c r="G18" s="13">
        <v>66216</v>
      </c>
      <c r="H18" s="16">
        <v>62398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4">
        <v>33</v>
      </c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4">
        <v>160</v>
      </c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4">
        <v>29</v>
      </c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502641</v>
      </c>
      <c r="H24" s="18">
        <f>SUM(H4:H18)</f>
        <v>488723</v>
      </c>
      <c r="I24" s="18">
        <v>504894</v>
      </c>
      <c r="K24" s="7">
        <f>G26-H24</f>
        <v>13918</v>
      </c>
      <c r="M24" s="7">
        <f>M16+M22</f>
        <v>100500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502641</v>
      </c>
      <c r="H26">
        <v>493260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518041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100500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978541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0C4D-3E1A-47BD-A7EC-E79200A3EBA6}">
  <dimension ref="A1:AF47"/>
  <sheetViews>
    <sheetView topLeftCell="D1" workbookViewId="0">
      <selection activeCell="D1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28">
        <v>43980</v>
      </c>
      <c r="H3" s="28">
        <v>43951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52605</v>
      </c>
      <c r="H4" s="6">
        <v>30657</v>
      </c>
      <c r="I4" s="3"/>
      <c r="J4" t="s">
        <v>12</v>
      </c>
      <c r="M4">
        <v>0</v>
      </c>
      <c r="Q4" s="7">
        <f>G24-R4</f>
        <v>329648</v>
      </c>
      <c r="R4" s="7">
        <f>SUM(G11:G15)</f>
        <v>199900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52605</v>
      </c>
      <c r="H5" s="6">
        <v>30657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8024</v>
      </c>
      <c r="H6" s="6">
        <v>7491</v>
      </c>
      <c r="I6" s="3"/>
      <c r="J6" s="8" t="s">
        <v>20</v>
      </c>
      <c r="M6">
        <v>5000</v>
      </c>
      <c r="N6" s="8" t="s">
        <v>21</v>
      </c>
      <c r="P6" t="s">
        <v>22</v>
      </c>
      <c r="Q6" s="7">
        <f>G4+G5+G16+G17+G18</f>
        <v>308286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1156</v>
      </c>
      <c r="H7" s="6">
        <v>1091</v>
      </c>
      <c r="I7" s="3"/>
      <c r="J7" s="8"/>
      <c r="N7" s="8"/>
      <c r="P7" t="s">
        <v>26</v>
      </c>
      <c r="Q7" s="7">
        <f>SUM(G6:G10)</f>
        <v>21362</v>
      </c>
    </row>
    <row r="8" spans="1:32" x14ac:dyDescent="0.35">
      <c r="C8" t="s">
        <v>24</v>
      </c>
      <c r="D8" s="8" t="s">
        <v>27</v>
      </c>
      <c r="G8">
        <v>11606</v>
      </c>
      <c r="H8" s="9">
        <v>10718</v>
      </c>
      <c r="I8" s="3"/>
      <c r="J8" s="8"/>
      <c r="N8" s="8"/>
    </row>
    <row r="9" spans="1:32" x14ac:dyDescent="0.35">
      <c r="C9" t="s">
        <v>24</v>
      </c>
      <c r="D9" s="8" t="s">
        <v>28</v>
      </c>
      <c r="G9" s="7">
        <v>410</v>
      </c>
      <c r="H9" s="10">
        <v>367</v>
      </c>
      <c r="I9" s="3"/>
      <c r="J9" s="8"/>
      <c r="N9" s="8"/>
    </row>
    <row r="10" spans="1:32" x14ac:dyDescent="0.35">
      <c r="C10" t="s">
        <v>24</v>
      </c>
      <c r="D10" s="8" t="s">
        <v>29</v>
      </c>
      <c r="G10" s="7">
        <v>166</v>
      </c>
      <c r="H10" s="6">
        <v>151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 s="7">
        <v>38800</v>
      </c>
      <c r="H11" s="6">
        <v>75000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29">
        <v>50000</v>
      </c>
      <c r="H12" s="13">
        <v>50000</v>
      </c>
      <c r="I12" s="3"/>
      <c r="J12" s="8" t="s">
        <v>37</v>
      </c>
      <c r="K12" s="8" t="s">
        <v>38</v>
      </c>
      <c r="M12" s="7">
        <v>37000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 s="29">
        <v>11100</v>
      </c>
      <c r="H13" s="13">
        <v>11100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29">
        <v>50000</v>
      </c>
      <c r="H14" s="13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29">
        <v>50000</v>
      </c>
      <c r="H15" s="13">
        <v>50000</v>
      </c>
      <c r="I15" s="3"/>
      <c r="J15" s="8" t="s">
        <v>37</v>
      </c>
      <c r="K15" s="8" t="s">
        <v>43</v>
      </c>
      <c r="M15" s="7">
        <v>35000</v>
      </c>
      <c r="Q15">
        <f>G4*2</f>
        <v>105210</v>
      </c>
    </row>
    <row r="16" spans="1:32" ht="15" thickBot="1" x14ac:dyDescent="0.4">
      <c r="A16" s="15">
        <v>766</v>
      </c>
      <c r="B16" s="15">
        <v>766</v>
      </c>
      <c r="C16" s="14">
        <v>523</v>
      </c>
      <c r="D16" t="s">
        <v>44</v>
      </c>
      <c r="E16" t="s">
        <v>45</v>
      </c>
      <c r="F16" t="s">
        <v>14</v>
      </c>
      <c r="G16" s="29">
        <v>78218</v>
      </c>
      <c r="H16" s="13">
        <v>72611</v>
      </c>
      <c r="I16" s="3"/>
      <c r="J16" s="8" t="s">
        <v>46</v>
      </c>
      <c r="M16" s="17">
        <f>SUM(M4:M15)</f>
        <v>100500</v>
      </c>
      <c r="N16">
        <v>73707</v>
      </c>
      <c r="Q16">
        <f>Q14-Q15</f>
        <v>-23923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7">
        <f>25420+26482</f>
        <v>51902</v>
      </c>
      <c r="H17" s="6">
        <f>23291*2</f>
        <v>46582</v>
      </c>
      <c r="I17" s="3"/>
    </row>
    <row r="18" spans="1:27" x14ac:dyDescent="0.35">
      <c r="A18" s="15">
        <v>597</v>
      </c>
      <c r="B18" s="15">
        <v>555</v>
      </c>
      <c r="C18">
        <v>715</v>
      </c>
      <c r="D18" t="s">
        <v>50</v>
      </c>
      <c r="F18" t="s">
        <v>14</v>
      </c>
      <c r="G18" s="29">
        <v>72956</v>
      </c>
      <c r="H18" s="13">
        <v>66216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4">
        <v>33</v>
      </c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4">
        <v>160</v>
      </c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4">
        <v>29</v>
      </c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529548</v>
      </c>
      <c r="H24" s="18">
        <f>SUM(H4:H18)</f>
        <v>502641</v>
      </c>
      <c r="I24" s="18">
        <v>504894</v>
      </c>
      <c r="K24" s="7">
        <f>G26-H24</f>
        <v>26907</v>
      </c>
      <c r="M24" s="7">
        <f>M16+M22</f>
        <v>100500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529548</v>
      </c>
      <c r="H26">
        <v>493260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544948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100500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1005448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0857-B5F8-461A-84DB-C5B41E40FB82}">
  <dimension ref="A1:AF47"/>
  <sheetViews>
    <sheetView topLeftCell="A10" workbookViewId="0">
      <selection activeCell="A10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H3" s="28">
        <v>43980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53060</v>
      </c>
      <c r="H4" s="6">
        <v>30657</v>
      </c>
      <c r="I4" s="3"/>
      <c r="J4" t="s">
        <v>12</v>
      </c>
      <c r="M4">
        <v>0</v>
      </c>
      <c r="Q4" s="7">
        <f>G24-R4</f>
        <v>355563</v>
      </c>
      <c r="R4" s="7">
        <f>SUM(G11:G15)</f>
        <v>185100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53060</v>
      </c>
      <c r="H5" s="6">
        <v>30657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8061</v>
      </c>
      <c r="H6" s="6">
        <v>7491</v>
      </c>
      <c r="I6" s="3"/>
      <c r="J6" s="8" t="s">
        <v>20</v>
      </c>
      <c r="M6">
        <v>5000</v>
      </c>
      <c r="N6" s="8" t="s">
        <v>21</v>
      </c>
      <c r="P6" t="s">
        <v>22</v>
      </c>
      <c r="Q6" s="7">
        <f>G4+G5+G16+G17+G18</f>
        <v>333936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1161</v>
      </c>
      <c r="H7" s="6">
        <v>1091</v>
      </c>
      <c r="I7" s="3"/>
      <c r="J7" s="8"/>
      <c r="N7" s="8"/>
      <c r="P7" t="s">
        <v>26</v>
      </c>
      <c r="Q7" s="7">
        <f>SUM(G6:G10)</f>
        <v>21627</v>
      </c>
    </row>
    <row r="8" spans="1:32" x14ac:dyDescent="0.35">
      <c r="C8" t="s">
        <v>24</v>
      </c>
      <c r="D8" s="8" t="s">
        <v>27</v>
      </c>
      <c r="G8">
        <v>11861</v>
      </c>
      <c r="H8" s="9">
        <v>10718</v>
      </c>
      <c r="I8" s="3"/>
      <c r="J8" s="8"/>
      <c r="N8" s="8"/>
    </row>
    <row r="9" spans="1:32" x14ac:dyDescent="0.35">
      <c r="C9" t="s">
        <v>24</v>
      </c>
      <c r="D9" s="8" t="s">
        <v>28</v>
      </c>
      <c r="G9">
        <v>371</v>
      </c>
      <c r="H9" s="10">
        <v>367</v>
      </c>
      <c r="I9" s="3"/>
      <c r="J9" s="8" t="s">
        <v>93</v>
      </c>
      <c r="M9">
        <v>20000</v>
      </c>
      <c r="N9" s="8"/>
    </row>
    <row r="10" spans="1:32" x14ac:dyDescent="0.35">
      <c r="C10" t="s">
        <v>24</v>
      </c>
      <c r="D10" s="8" t="s">
        <v>29</v>
      </c>
      <c r="G10">
        <v>173</v>
      </c>
      <c r="H10" s="6">
        <v>151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>
        <v>23600</v>
      </c>
      <c r="H11" s="6">
        <v>75000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13">
        <v>50000</v>
      </c>
      <c r="H12" s="13">
        <v>50000</v>
      </c>
      <c r="I12" s="3"/>
      <c r="J12" s="8" t="s">
        <v>37</v>
      </c>
      <c r="K12" s="8" t="s">
        <v>38</v>
      </c>
      <c r="M12" s="7">
        <v>37000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>
        <v>11500</v>
      </c>
      <c r="H13" s="13">
        <v>11100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13">
        <v>50000</v>
      </c>
      <c r="H14" s="13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13">
        <v>50000</v>
      </c>
      <c r="H15" s="13">
        <v>50000</v>
      </c>
      <c r="I15" s="3"/>
      <c r="J15" s="8" t="s">
        <v>37</v>
      </c>
      <c r="K15" s="8" t="s">
        <v>43</v>
      </c>
      <c r="M15" s="7">
        <v>35000</v>
      </c>
      <c r="Q15">
        <f>G4*2</f>
        <v>106120</v>
      </c>
    </row>
    <row r="16" spans="1:32" ht="15" thickBot="1" x14ac:dyDescent="0.4">
      <c r="A16" s="15">
        <v>766</v>
      </c>
      <c r="B16" s="15">
        <v>766</v>
      </c>
      <c r="C16" s="14">
        <v>523</v>
      </c>
      <c r="D16" t="s">
        <v>44</v>
      </c>
      <c r="E16" t="s">
        <v>45</v>
      </c>
      <c r="F16" t="s">
        <v>14</v>
      </c>
      <c r="G16" s="13">
        <v>87460</v>
      </c>
      <c r="H16" s="13">
        <v>72611</v>
      </c>
      <c r="I16" s="3"/>
      <c r="J16" s="8" t="s">
        <v>46</v>
      </c>
      <c r="M16" s="17">
        <f>SUM(M4:M15)</f>
        <v>120500</v>
      </c>
      <c r="N16">
        <v>73707</v>
      </c>
      <c r="Q16">
        <f>Q14-Q15</f>
        <v>-24833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13">
        <f>27906+29326</f>
        <v>57232</v>
      </c>
      <c r="H17" s="6">
        <f>23291*2</f>
        <v>46582</v>
      </c>
      <c r="I17" s="3"/>
    </row>
    <row r="18" spans="1:27" x14ac:dyDescent="0.35">
      <c r="A18" s="15">
        <v>597</v>
      </c>
      <c r="B18" s="15">
        <v>555</v>
      </c>
      <c r="C18">
        <v>715</v>
      </c>
      <c r="D18" t="s">
        <v>50</v>
      </c>
      <c r="F18" t="s">
        <v>14</v>
      </c>
      <c r="G18" s="13">
        <v>83124</v>
      </c>
      <c r="H18" s="13">
        <v>66216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4">
        <v>33</v>
      </c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4">
        <v>160</v>
      </c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4">
        <v>29</v>
      </c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540663</v>
      </c>
      <c r="H24" s="18">
        <v>529548</v>
      </c>
      <c r="I24" s="18">
        <v>504894</v>
      </c>
      <c r="K24" s="7">
        <f>G26-H24</f>
        <v>11115</v>
      </c>
      <c r="M24" s="7">
        <f>M16+M22</f>
        <v>120500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540663</v>
      </c>
      <c r="H26">
        <v>493260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556063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120500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1036563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4C55-4ABE-4F41-9D49-DF56A15C70A8}">
  <dimension ref="A1:AF47"/>
  <sheetViews>
    <sheetView topLeftCell="A16"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3" t="s">
        <v>95</v>
      </c>
      <c r="H3" s="28" t="s">
        <v>94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53648</v>
      </c>
      <c r="H4">
        <v>53060</v>
      </c>
      <c r="I4" s="3"/>
      <c r="J4" t="s">
        <v>12</v>
      </c>
      <c r="M4">
        <v>0</v>
      </c>
      <c r="Q4" s="7">
        <f>G24-R4</f>
        <v>372928</v>
      </c>
      <c r="R4" s="7">
        <f>SUM(G11:G15)</f>
        <v>186500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53648</v>
      </c>
      <c r="H5">
        <v>53060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8126</v>
      </c>
      <c r="H6">
        <v>8061</v>
      </c>
      <c r="I6" s="3"/>
      <c r="J6" s="8" t="s">
        <v>20</v>
      </c>
      <c r="M6">
        <v>5000</v>
      </c>
      <c r="N6" s="8" t="s">
        <v>21</v>
      </c>
      <c r="P6" t="s">
        <v>22</v>
      </c>
      <c r="Q6" s="7">
        <f>G4+G5+G16+G17+G18</f>
        <v>351686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1138</v>
      </c>
      <c r="H7">
        <v>1161</v>
      </c>
      <c r="I7" s="3"/>
      <c r="J7" s="8"/>
      <c r="N7" s="8"/>
      <c r="P7" t="s">
        <v>26</v>
      </c>
      <c r="Q7" s="7">
        <f>SUM(G6:G10)</f>
        <v>21242</v>
      </c>
    </row>
    <row r="8" spans="1:32" x14ac:dyDescent="0.35">
      <c r="C8" t="s">
        <v>24</v>
      </c>
      <c r="D8" s="8" t="s">
        <v>27</v>
      </c>
      <c r="G8">
        <v>11397</v>
      </c>
      <c r="H8">
        <v>11861</v>
      </c>
      <c r="I8" s="3"/>
      <c r="J8" s="8"/>
      <c r="N8" s="8"/>
    </row>
    <row r="9" spans="1:32" x14ac:dyDescent="0.35">
      <c r="C9" t="s">
        <v>24</v>
      </c>
      <c r="D9" s="8" t="s">
        <v>28</v>
      </c>
      <c r="G9">
        <v>336</v>
      </c>
      <c r="H9">
        <v>371</v>
      </c>
      <c r="I9" s="3"/>
      <c r="J9" s="8" t="s">
        <v>93</v>
      </c>
      <c r="M9">
        <v>20000</v>
      </c>
      <c r="N9" s="8"/>
    </row>
    <row r="10" spans="1:32" x14ac:dyDescent="0.35">
      <c r="C10" t="s">
        <v>24</v>
      </c>
      <c r="D10" s="8" t="s">
        <v>29</v>
      </c>
      <c r="G10">
        <v>245</v>
      </c>
      <c r="H10">
        <v>173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>
        <v>25000</v>
      </c>
      <c r="H11">
        <v>23600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13">
        <v>50000</v>
      </c>
      <c r="H12" s="13">
        <v>50000</v>
      </c>
      <c r="I12" s="3"/>
      <c r="J12" s="8" t="s">
        <v>37</v>
      </c>
      <c r="K12" s="8" t="s">
        <v>38</v>
      </c>
      <c r="M12" s="7">
        <v>37000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>
        <v>11500</v>
      </c>
      <c r="H13">
        <v>11500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13">
        <v>50000</v>
      </c>
      <c r="H14" s="13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13">
        <v>50000</v>
      </c>
      <c r="H15" s="13">
        <v>50000</v>
      </c>
      <c r="I15" s="3"/>
      <c r="J15" s="8" t="s">
        <v>37</v>
      </c>
      <c r="K15" s="8" t="s">
        <v>43</v>
      </c>
      <c r="M15" s="7">
        <v>35000</v>
      </c>
      <c r="Q15">
        <f>G4*2</f>
        <v>107296</v>
      </c>
    </row>
    <row r="16" spans="1:32" ht="15" thickBot="1" x14ac:dyDescent="0.4">
      <c r="A16" s="15">
        <v>766</v>
      </c>
      <c r="B16" s="15">
        <v>766</v>
      </c>
      <c r="C16" s="14">
        <v>523</v>
      </c>
      <c r="D16" t="s">
        <v>44</v>
      </c>
      <c r="E16" t="s">
        <v>45</v>
      </c>
      <c r="F16" t="s">
        <v>14</v>
      </c>
      <c r="G16" s="13">
        <v>93204</v>
      </c>
      <c r="H16" s="13">
        <v>87460</v>
      </c>
      <c r="I16" s="3"/>
      <c r="J16" s="8" t="s">
        <v>46</v>
      </c>
      <c r="M16" s="17">
        <f>SUM(M4:M15)</f>
        <v>120500</v>
      </c>
      <c r="N16">
        <v>73707</v>
      </c>
      <c r="Q16">
        <f>Q14-Q15</f>
        <v>-26009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13">
        <f>31181+30000</f>
        <v>61181</v>
      </c>
      <c r="H17" s="13">
        <f>27906+29326</f>
        <v>57232</v>
      </c>
      <c r="I17" s="3"/>
    </row>
    <row r="18" spans="1:27" x14ac:dyDescent="0.35">
      <c r="A18" s="15">
        <v>597</v>
      </c>
      <c r="B18" s="15">
        <v>555</v>
      </c>
      <c r="C18">
        <v>715</v>
      </c>
      <c r="D18" t="s">
        <v>50</v>
      </c>
      <c r="F18" t="s">
        <v>14</v>
      </c>
      <c r="G18" s="13">
        <v>90005</v>
      </c>
      <c r="H18" s="13">
        <v>83124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8"/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8"/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8"/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559428</v>
      </c>
      <c r="H24" s="18">
        <v>529548</v>
      </c>
      <c r="I24" s="18">
        <v>504894</v>
      </c>
      <c r="K24" s="7">
        <f>G26-H24</f>
        <v>29880</v>
      </c>
      <c r="M24" s="7">
        <f>M16+M22</f>
        <v>120500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559428</v>
      </c>
      <c r="H26">
        <v>493260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574828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120500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1055328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4C45-84AF-423B-831F-20524E9F46D4}">
  <dimension ref="A1:AF47"/>
  <sheetViews>
    <sheetView topLeftCell="A10" workbookViewId="0">
      <selection activeCell="G16" sqref="G1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3" t="s">
        <v>96</v>
      </c>
      <c r="H3" s="3" t="s">
        <v>95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33591+22023</f>
        <v>55614</v>
      </c>
      <c r="H4">
        <v>53648</v>
      </c>
      <c r="I4" s="3"/>
      <c r="J4" t="s">
        <v>12</v>
      </c>
      <c r="M4">
        <v>0</v>
      </c>
      <c r="Q4" s="7">
        <f>G24-R4</f>
        <v>392474</v>
      </c>
      <c r="R4" s="7">
        <f>SUM(G11:G15)</f>
        <v>192000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55491</v>
      </c>
      <c r="H5">
        <v>53648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8469</v>
      </c>
      <c r="H6">
        <v>8126</v>
      </c>
      <c r="I6" s="3"/>
      <c r="J6" s="8" t="s">
        <v>20</v>
      </c>
      <c r="M6">
        <v>5000</v>
      </c>
      <c r="N6" s="8" t="s">
        <v>21</v>
      </c>
      <c r="P6" t="s">
        <v>22</v>
      </c>
      <c r="Q6" s="7" t="e">
        <f>G5+#REF!+G16+G17+G18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1193</v>
      </c>
      <c r="H7">
        <v>1138</v>
      </c>
      <c r="I7" s="3"/>
      <c r="J7" s="8"/>
      <c r="N7" s="8"/>
      <c r="P7" t="s">
        <v>26</v>
      </c>
      <c r="Q7" s="7">
        <f>SUM(G6:G10)</f>
        <v>21793</v>
      </c>
    </row>
    <row r="8" spans="1:32" x14ac:dyDescent="0.35">
      <c r="C8" t="s">
        <v>24</v>
      </c>
      <c r="D8" s="8" t="s">
        <v>27</v>
      </c>
      <c r="G8">
        <v>11541</v>
      </c>
      <c r="H8">
        <v>11397</v>
      </c>
      <c r="I8" s="3"/>
      <c r="J8" s="8"/>
      <c r="N8" s="8"/>
    </row>
    <row r="9" spans="1:32" x14ac:dyDescent="0.35">
      <c r="C9" t="s">
        <v>24</v>
      </c>
      <c r="D9" s="8" t="s">
        <v>28</v>
      </c>
      <c r="G9">
        <v>312</v>
      </c>
      <c r="H9">
        <v>336</v>
      </c>
      <c r="I9" s="3"/>
      <c r="J9" s="8" t="s">
        <v>93</v>
      </c>
      <c r="M9">
        <v>20000</v>
      </c>
      <c r="N9" s="8"/>
    </row>
    <row r="10" spans="1:32" x14ac:dyDescent="0.35">
      <c r="C10" t="s">
        <v>24</v>
      </c>
      <c r="D10" s="8" t="s">
        <v>29</v>
      </c>
      <c r="G10">
        <v>278</v>
      </c>
      <c r="H10">
        <v>245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>
        <v>42000</v>
      </c>
      <c r="H11">
        <v>25000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29">
        <v>50000</v>
      </c>
      <c r="H12" s="13">
        <v>50000</v>
      </c>
      <c r="I12" s="3"/>
      <c r="J12" s="8" t="s">
        <v>37</v>
      </c>
      <c r="K12" s="8" t="s">
        <v>38</v>
      </c>
      <c r="M12" s="7">
        <v>37000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>
        <v>0</v>
      </c>
      <c r="H13">
        <v>11500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29">
        <v>50000</v>
      </c>
      <c r="H14" s="13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29">
        <v>50000</v>
      </c>
      <c r="H15" s="13">
        <v>50000</v>
      </c>
      <c r="I15" s="3"/>
      <c r="J15" s="8" t="s">
        <v>37</v>
      </c>
      <c r="K15" s="8" t="s">
        <v>43</v>
      </c>
      <c r="M15" s="7">
        <v>35000</v>
      </c>
      <c r="Q15">
        <f>G5*2</f>
        <v>110982</v>
      </c>
    </row>
    <row r="16" spans="1:32" ht="15" thickBot="1" x14ac:dyDescent="0.4">
      <c r="A16" s="15">
        <v>766</v>
      </c>
      <c r="B16" s="15">
        <v>766</v>
      </c>
      <c r="C16" s="14">
        <v>774</v>
      </c>
      <c r="D16" t="s">
        <v>44</v>
      </c>
      <c r="E16" t="s">
        <v>45</v>
      </c>
      <c r="F16" t="s">
        <v>14</v>
      </c>
      <c r="G16" s="29">
        <v>96526</v>
      </c>
      <c r="H16" s="13">
        <v>93204</v>
      </c>
      <c r="I16" s="3"/>
      <c r="J16" s="8" t="s">
        <v>46</v>
      </c>
      <c r="M16" s="17">
        <f>SUM(M4:M15)</f>
        <v>120500</v>
      </c>
      <c r="N16">
        <v>73707</v>
      </c>
      <c r="Q16">
        <f>Q14-Q15</f>
        <v>-29695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29">
        <f>30791+235+32292</f>
        <v>63318</v>
      </c>
      <c r="H17" s="13">
        <f>31181+30000</f>
        <v>61181</v>
      </c>
      <c r="I17" s="3"/>
    </row>
    <row r="18" spans="1:27" x14ac:dyDescent="0.35">
      <c r="A18" s="15">
        <v>597</v>
      </c>
      <c r="B18" s="15">
        <v>555</v>
      </c>
      <c r="C18">
        <v>759</v>
      </c>
      <c r="D18" t="s">
        <v>50</v>
      </c>
      <c r="F18" t="s">
        <v>14</v>
      </c>
      <c r="G18" s="29">
        <v>99732</v>
      </c>
      <c r="H18" s="13">
        <v>90005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8"/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8"/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8"/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584474</v>
      </c>
      <c r="H24" s="22">
        <f>SUM(H4:H18)</f>
        <v>559428</v>
      </c>
      <c r="I24" s="18">
        <v>504894</v>
      </c>
      <c r="K24" s="7">
        <f>G26-H24</f>
        <v>25046</v>
      </c>
      <c r="M24" s="7">
        <f>M16+M22</f>
        <v>120500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584474</v>
      </c>
      <c r="H26">
        <v>493260</v>
      </c>
      <c r="I26" s="7">
        <f>G24-H24</f>
        <v>25046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599874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120500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1080374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A544-B195-454D-BC20-708E664CDCDC}">
  <dimension ref="A1:AF47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3" t="s">
        <v>98</v>
      </c>
      <c r="H3" s="3" t="s">
        <v>96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55221</v>
      </c>
      <c r="H4">
        <f>33591+22023</f>
        <v>55614</v>
      </c>
      <c r="I4" s="3"/>
      <c r="J4" t="s">
        <v>12</v>
      </c>
      <c r="M4">
        <v>0</v>
      </c>
      <c r="Q4" s="7">
        <f>G24-R4</f>
        <v>382859.99</v>
      </c>
      <c r="R4" s="7">
        <f>SUM(G11:G15)</f>
        <v>192000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55221</v>
      </c>
      <c r="H5">
        <v>55491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8580</v>
      </c>
      <c r="H6">
        <v>8469</v>
      </c>
      <c r="I6" s="3"/>
      <c r="J6" s="8" t="s">
        <v>20</v>
      </c>
      <c r="M6">
        <v>5000</v>
      </c>
      <c r="N6" s="8" t="s">
        <v>21</v>
      </c>
      <c r="P6" t="s">
        <v>22</v>
      </c>
      <c r="Q6" s="7" t="e">
        <f>#REF!+#REF!+G16+G17+G18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1348</v>
      </c>
      <c r="H7">
        <v>1193</v>
      </c>
      <c r="I7" s="3"/>
      <c r="J7" s="8"/>
      <c r="N7" s="8"/>
      <c r="P7" t="s">
        <v>26</v>
      </c>
      <c r="Q7" s="7">
        <f>SUM(G6:G10)</f>
        <v>22076</v>
      </c>
    </row>
    <row r="8" spans="1:32" x14ac:dyDescent="0.35">
      <c r="C8" t="s">
        <v>24</v>
      </c>
      <c r="D8" s="8" t="s">
        <v>27</v>
      </c>
      <c r="G8">
        <v>11545</v>
      </c>
      <c r="H8">
        <v>11541</v>
      </c>
      <c r="I8" s="3"/>
      <c r="J8" s="8"/>
      <c r="N8" s="8"/>
    </row>
    <row r="9" spans="1:32" x14ac:dyDescent="0.35">
      <c r="C9" t="s">
        <v>24</v>
      </c>
      <c r="D9" s="8" t="s">
        <v>28</v>
      </c>
      <c r="G9">
        <v>343</v>
      </c>
      <c r="H9">
        <v>312</v>
      </c>
      <c r="I9" s="3"/>
      <c r="J9" s="8" t="s">
        <v>93</v>
      </c>
      <c r="M9">
        <v>20000</v>
      </c>
      <c r="N9" s="8"/>
    </row>
    <row r="10" spans="1:32" x14ac:dyDescent="0.35">
      <c r="C10" t="s">
        <v>24</v>
      </c>
      <c r="D10" s="8" t="s">
        <v>29</v>
      </c>
      <c r="G10">
        <v>260</v>
      </c>
      <c r="H10">
        <v>278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>
        <v>42000</v>
      </c>
      <c r="H11">
        <v>42000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29">
        <v>50000</v>
      </c>
      <c r="H12" s="29">
        <v>50000</v>
      </c>
      <c r="I12" s="3"/>
      <c r="J12" s="8" t="s">
        <v>37</v>
      </c>
      <c r="K12" s="8" t="s">
        <v>38</v>
      </c>
      <c r="M12" s="7">
        <v>38000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>
        <v>0</v>
      </c>
      <c r="H13">
        <v>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29">
        <v>50000</v>
      </c>
      <c r="H14" s="29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29">
        <v>50000</v>
      </c>
      <c r="H15" s="29">
        <v>50000</v>
      </c>
      <c r="I15" s="3"/>
      <c r="J15" s="8" t="s">
        <v>37</v>
      </c>
      <c r="K15" s="8" t="s">
        <v>43</v>
      </c>
      <c r="M15" s="7">
        <v>36000</v>
      </c>
      <c r="Q15" t="e">
        <f>#REF!*2</f>
        <v>#REF!</v>
      </c>
    </row>
    <row r="16" spans="1:32" ht="15" thickBot="1" x14ac:dyDescent="0.4">
      <c r="A16" s="15">
        <v>766</v>
      </c>
      <c r="B16" s="15">
        <v>766</v>
      </c>
      <c r="C16" s="14">
        <v>774</v>
      </c>
      <c r="D16" t="s">
        <v>44</v>
      </c>
      <c r="E16" t="s">
        <v>45</v>
      </c>
      <c r="F16" t="s">
        <v>14</v>
      </c>
      <c r="G16" s="16">
        <v>94346.65</v>
      </c>
      <c r="H16" s="29">
        <v>96526</v>
      </c>
      <c r="I16" s="3"/>
      <c r="J16" s="8" t="s">
        <v>46</v>
      </c>
      <c r="M16" s="17">
        <f>SUM(M4:M15)</f>
        <v>122500</v>
      </c>
      <c r="N16">
        <v>73707</v>
      </c>
      <c r="Q16" t="e">
        <f>Q14-Q15</f>
        <v>#REF!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16">
        <f>231+30104+31578</f>
        <v>61913</v>
      </c>
      <c r="H17" s="29">
        <f>30791+235+32292</f>
        <v>63318</v>
      </c>
      <c r="I17" s="3"/>
    </row>
    <row r="18" spans="1:27" x14ac:dyDescent="0.35">
      <c r="A18" s="15">
        <v>597</v>
      </c>
      <c r="B18" s="15">
        <v>555</v>
      </c>
      <c r="C18">
        <v>772</v>
      </c>
      <c r="D18" t="s">
        <v>50</v>
      </c>
      <c r="F18" t="s">
        <v>14</v>
      </c>
      <c r="G18" s="16">
        <v>94082.34</v>
      </c>
      <c r="H18" s="29">
        <v>99732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8"/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8"/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8"/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574859.99</v>
      </c>
      <c r="H24" s="22">
        <f>SUM(H4:H18)</f>
        <v>584474</v>
      </c>
      <c r="I24" s="18">
        <v>504894</v>
      </c>
      <c r="K24" s="7">
        <f>G26-H24</f>
        <v>-9614.0100000000093</v>
      </c>
      <c r="M24" s="7">
        <f>M16+M22</f>
        <v>122500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574859.99</v>
      </c>
      <c r="H26" s="22">
        <v>584474</v>
      </c>
      <c r="I26" s="7">
        <f>G24-H24</f>
        <v>-9614.0100000000093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590259.99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122500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1072759.99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D9E5-537E-4BE3-9BB4-A5F5726FA4B3}">
  <dimension ref="A1:AF47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1">
        <v>44134</v>
      </c>
      <c r="H3" s="3" t="s">
        <v>98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32582+21348</f>
        <v>53930</v>
      </c>
      <c r="H4">
        <v>55221</v>
      </c>
      <c r="I4" s="3"/>
      <c r="J4" t="s">
        <v>12</v>
      </c>
      <c r="M4">
        <v>0</v>
      </c>
      <c r="Q4" s="7">
        <f>G24-R4</f>
        <v>300299</v>
      </c>
      <c r="R4" s="7">
        <f>SUM(G11:G15)</f>
        <v>193427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53930</v>
      </c>
      <c r="H5">
        <v>55221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8307</v>
      </c>
      <c r="H6">
        <v>8580</v>
      </c>
      <c r="I6" s="3"/>
      <c r="J6" s="8" t="s">
        <v>20</v>
      </c>
      <c r="M6">
        <v>5000</v>
      </c>
      <c r="N6" s="8" t="s">
        <v>21</v>
      </c>
      <c r="P6" t="s">
        <v>22</v>
      </c>
      <c r="Q6" s="7" t="e">
        <f>#REF!+#REF!+G16+G17+G18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1346</v>
      </c>
      <c r="H7">
        <v>1348</v>
      </c>
      <c r="I7" s="3"/>
      <c r="J7" s="8"/>
      <c r="N7" s="8"/>
      <c r="P7" t="s">
        <v>26</v>
      </c>
      <c r="Q7" s="7">
        <f>SUM(G6:G10)</f>
        <v>22260</v>
      </c>
    </row>
    <row r="8" spans="1:32" x14ac:dyDescent="0.35">
      <c r="C8" t="s">
        <v>24</v>
      </c>
      <c r="D8" s="8" t="s">
        <v>27</v>
      </c>
      <c r="G8">
        <v>12020</v>
      </c>
      <c r="H8">
        <v>11545</v>
      </c>
      <c r="I8" s="3"/>
      <c r="J8" s="8"/>
      <c r="N8" s="8"/>
    </row>
    <row r="9" spans="1:32" x14ac:dyDescent="0.35">
      <c r="C9" t="s">
        <v>24</v>
      </c>
      <c r="D9" s="8" t="s">
        <v>28</v>
      </c>
      <c r="G9">
        <v>310</v>
      </c>
      <c r="H9">
        <v>343</v>
      </c>
      <c r="I9" s="3"/>
      <c r="J9" s="8" t="s">
        <v>93</v>
      </c>
      <c r="M9">
        <v>20000</v>
      </c>
      <c r="N9" s="8"/>
    </row>
    <row r="10" spans="1:32" x14ac:dyDescent="0.35">
      <c r="C10" t="s">
        <v>24</v>
      </c>
      <c r="D10" s="8" t="s">
        <v>29</v>
      </c>
      <c r="G10">
        <v>277</v>
      </c>
      <c r="H10">
        <v>260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>
        <v>43427</v>
      </c>
      <c r="H11">
        <v>42000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29">
        <v>50000</v>
      </c>
      <c r="H12" s="29">
        <v>50000</v>
      </c>
      <c r="I12" s="3"/>
      <c r="J12" s="8" t="s">
        <v>37</v>
      </c>
      <c r="K12" s="8" t="s">
        <v>38</v>
      </c>
      <c r="M12" s="7">
        <v>38000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H13">
        <v>0</v>
      </c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29">
        <v>50000</v>
      </c>
      <c r="H14" s="29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29">
        <v>50000</v>
      </c>
      <c r="H15" s="29">
        <v>50000</v>
      </c>
      <c r="I15" s="3"/>
      <c r="J15" s="8" t="s">
        <v>37</v>
      </c>
      <c r="K15" s="8" t="s">
        <v>43</v>
      </c>
      <c r="M15" s="7">
        <v>36000</v>
      </c>
      <c r="Q15" t="e">
        <f>#REF!*2</f>
        <v>#REF!</v>
      </c>
    </row>
    <row r="16" spans="1:32" ht="15" thickBot="1" x14ac:dyDescent="0.4">
      <c r="A16" s="15">
        <v>766</v>
      </c>
      <c r="B16" s="15">
        <v>766</v>
      </c>
      <c r="C16" s="14">
        <v>774</v>
      </c>
      <c r="D16" t="s">
        <v>44</v>
      </c>
      <c r="E16" t="s">
        <v>45</v>
      </c>
      <c r="F16" t="s">
        <v>14</v>
      </c>
      <c r="G16" s="16">
        <v>63712</v>
      </c>
      <c r="H16" s="16">
        <v>94346.65</v>
      </c>
      <c r="I16" s="3"/>
      <c r="J16" s="8" t="s">
        <v>46</v>
      </c>
      <c r="M16" s="17">
        <f>SUM(M4:M15)</f>
        <v>122500</v>
      </c>
      <c r="N16">
        <v>73707</v>
      </c>
      <c r="Q16" t="e">
        <f>Q14-Q15</f>
        <v>#REF!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16">
        <f>20336+206+21377</f>
        <v>41919</v>
      </c>
      <c r="H17" s="16">
        <f>231+30104+31578</f>
        <v>61913</v>
      </c>
      <c r="I17" s="3"/>
    </row>
    <row r="18" spans="1:27" x14ac:dyDescent="0.35">
      <c r="A18" s="15">
        <v>597</v>
      </c>
      <c r="B18" s="15">
        <v>555</v>
      </c>
      <c r="C18">
        <v>772</v>
      </c>
      <c r="D18" t="s">
        <v>50</v>
      </c>
      <c r="F18" t="s">
        <v>14</v>
      </c>
      <c r="G18" s="16">
        <v>64548</v>
      </c>
      <c r="H18" s="16">
        <v>94082.34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8"/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8"/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8"/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493726</v>
      </c>
      <c r="H24" s="22">
        <f>SUM(H4:H18)</f>
        <v>574859.99</v>
      </c>
      <c r="I24" s="18">
        <v>504894</v>
      </c>
      <c r="K24" s="7">
        <f>G26-H24</f>
        <v>-81133.989999999991</v>
      </c>
      <c r="M24" s="7">
        <f>M16+M22</f>
        <v>122500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493726</v>
      </c>
      <c r="H26" s="22">
        <v>584474</v>
      </c>
      <c r="I26" s="7">
        <f>G24-H24</f>
        <v>-81133.989999999991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509126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122500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991626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CB5D-10DB-4C5A-92C2-23ACA8D8CFA1}">
  <dimension ref="A1:AF47"/>
  <sheetViews>
    <sheetView topLeftCell="A5" workbookViewId="0">
      <selection activeCell="A5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1">
        <v>44165</v>
      </c>
      <c r="H3" s="1">
        <v>44134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57186</v>
      </c>
      <c r="H4">
        <f>32582+21348</f>
        <v>53930</v>
      </c>
      <c r="I4" s="3"/>
      <c r="J4" t="s">
        <v>12</v>
      </c>
      <c r="M4">
        <v>0</v>
      </c>
      <c r="Q4" s="7">
        <f>G24-R4</f>
        <v>333420</v>
      </c>
      <c r="R4" s="7">
        <f>SUM(G11:G15)</f>
        <v>185700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57186</v>
      </c>
      <c r="H5">
        <v>53930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8712</v>
      </c>
      <c r="H6">
        <v>8307</v>
      </c>
      <c r="I6" s="3"/>
      <c r="J6" s="8" t="s">
        <v>20</v>
      </c>
      <c r="M6">
        <v>5000</v>
      </c>
      <c r="N6" s="8" t="s">
        <v>21</v>
      </c>
      <c r="P6" t="s">
        <v>22</v>
      </c>
      <c r="Q6" s="7" t="e">
        <f>#REF!+#REF!+G16+G17+G18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1488</v>
      </c>
      <c r="H7">
        <v>1346</v>
      </c>
      <c r="I7" s="3"/>
      <c r="J7" s="8"/>
      <c r="N7" s="8"/>
      <c r="P7" t="s">
        <v>26</v>
      </c>
      <c r="Q7" s="7">
        <f>SUM(G6:G10)</f>
        <v>28688</v>
      </c>
    </row>
    <row r="8" spans="1:32" x14ac:dyDescent="0.35">
      <c r="C8" t="s">
        <v>24</v>
      </c>
      <c r="D8" s="8" t="s">
        <v>27</v>
      </c>
      <c r="G8">
        <v>15053</v>
      </c>
      <c r="H8">
        <v>12020</v>
      </c>
      <c r="I8" s="3"/>
      <c r="J8" s="8"/>
      <c r="N8" s="8"/>
    </row>
    <row r="9" spans="1:32" x14ac:dyDescent="0.35">
      <c r="C9" t="s">
        <v>24</v>
      </c>
      <c r="D9" s="8" t="s">
        <v>28</v>
      </c>
      <c r="G9">
        <v>435</v>
      </c>
      <c r="H9">
        <v>310</v>
      </c>
      <c r="I9" s="3"/>
      <c r="J9" s="8" t="s">
        <v>93</v>
      </c>
      <c r="M9">
        <v>20000</v>
      </c>
      <c r="N9" s="8"/>
    </row>
    <row r="10" spans="1:32" x14ac:dyDescent="0.35">
      <c r="C10" t="s">
        <v>24</v>
      </c>
      <c r="D10" s="8" t="s">
        <v>99</v>
      </c>
      <c r="G10">
        <v>3000</v>
      </c>
      <c r="H10">
        <v>277</v>
      </c>
      <c r="I10" s="3"/>
      <c r="J10" s="8" t="s">
        <v>30</v>
      </c>
      <c r="M10">
        <v>0</v>
      </c>
      <c r="N10" s="8"/>
    </row>
    <row r="11" spans="1:32" x14ac:dyDescent="0.35">
      <c r="D11" s="8" t="s">
        <v>31</v>
      </c>
      <c r="E11" t="s">
        <v>32</v>
      </c>
      <c r="G11">
        <v>35700</v>
      </c>
      <c r="H11">
        <v>43427</v>
      </c>
      <c r="I11" s="3"/>
      <c r="J11" t="s">
        <v>33</v>
      </c>
      <c r="M11" s="11">
        <v>1500</v>
      </c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29">
        <v>50000</v>
      </c>
      <c r="H12" s="29">
        <v>50000</v>
      </c>
      <c r="I12" s="3"/>
      <c r="J12" s="8" t="s">
        <v>37</v>
      </c>
      <c r="K12" s="8" t="s">
        <v>38</v>
      </c>
      <c r="M12" s="7">
        <v>38000</v>
      </c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 s="30"/>
      <c r="H13" s="30"/>
      <c r="I13" s="3"/>
      <c r="J13" s="8"/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29">
        <v>50000</v>
      </c>
      <c r="H14" s="29">
        <v>50000</v>
      </c>
      <c r="I14" s="3"/>
      <c r="J14" s="8"/>
      <c r="K14" s="8"/>
      <c r="M14" s="7"/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29">
        <v>50000</v>
      </c>
      <c r="H15" s="29">
        <v>50000</v>
      </c>
      <c r="I15" s="3"/>
      <c r="J15" s="8" t="s">
        <v>37</v>
      </c>
      <c r="K15" s="8" t="s">
        <v>43</v>
      </c>
      <c r="M15" s="7">
        <v>36000</v>
      </c>
      <c r="Q15" t="e">
        <f>#REF!*2</f>
        <v>#REF!</v>
      </c>
    </row>
    <row r="16" spans="1:32" ht="15" thickBot="1" x14ac:dyDescent="0.4">
      <c r="A16" s="15">
        <v>766</v>
      </c>
      <c r="B16" s="15">
        <v>766</v>
      </c>
      <c r="C16" s="14">
        <v>774</v>
      </c>
      <c r="D16" t="s">
        <v>44</v>
      </c>
      <c r="E16" t="s">
        <v>45</v>
      </c>
      <c r="F16" t="s">
        <v>14</v>
      </c>
      <c r="G16" s="16">
        <v>70709</v>
      </c>
      <c r="H16" s="16">
        <v>63712</v>
      </c>
      <c r="I16" s="3"/>
      <c r="J16" s="8" t="s">
        <v>46</v>
      </c>
      <c r="M16" s="17">
        <f>SUM(M4:M15)</f>
        <v>122500</v>
      </c>
      <c r="N16">
        <v>73707</v>
      </c>
      <c r="Q16" t="e">
        <f>Q14-Q15</f>
        <v>#REF!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16">
        <f>(23229-G9)+23723</f>
        <v>46517</v>
      </c>
      <c r="H17" s="16">
        <f>20336+206+21377</f>
        <v>41919</v>
      </c>
      <c r="I17" s="3"/>
    </row>
    <row r="18" spans="1:27" x14ac:dyDescent="0.35">
      <c r="A18" s="15">
        <v>597</v>
      </c>
      <c r="B18" s="15">
        <v>555</v>
      </c>
      <c r="C18">
        <v>800</v>
      </c>
      <c r="D18" t="s">
        <v>50</v>
      </c>
      <c r="F18" t="s">
        <v>14</v>
      </c>
      <c r="G18" s="16">
        <v>73134</v>
      </c>
      <c r="H18" s="16">
        <v>64548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8"/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8"/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8"/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519120</v>
      </c>
      <c r="H24" s="22">
        <f>SUM(H4:H18)</f>
        <v>493726</v>
      </c>
      <c r="I24" s="18">
        <v>504894</v>
      </c>
      <c r="K24" s="7">
        <f>G26-H24</f>
        <v>25394</v>
      </c>
      <c r="M24" s="7">
        <f>M16+M22</f>
        <v>122500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519120</v>
      </c>
      <c r="H26" s="22">
        <v>584474</v>
      </c>
      <c r="I26" s="7">
        <f>G24-H24</f>
        <v>25394</v>
      </c>
      <c r="K26">
        <v>7773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534520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122500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1017020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7E2C-002A-4E31-8148-BB0E647E5997}">
  <dimension ref="A1:AF47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1" t="s">
        <v>102</v>
      </c>
      <c r="H3" s="1">
        <v>44165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58971</v>
      </c>
      <c r="H4" s="7">
        <v>57186</v>
      </c>
      <c r="I4" s="3"/>
      <c r="J4" t="s">
        <v>105</v>
      </c>
      <c r="Q4" s="7">
        <f>G24-R4</f>
        <v>352798</v>
      </c>
      <c r="R4" s="7">
        <f>SUM(G11:G15)</f>
        <v>183948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58971</v>
      </c>
      <c r="H5" s="7">
        <v>57186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8862</v>
      </c>
      <c r="H6" s="7">
        <v>8712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#REF!+#REF!+G16+G17+G18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1439</v>
      </c>
      <c r="H7" s="7">
        <v>1488</v>
      </c>
      <c r="I7" s="3"/>
      <c r="J7" s="8" t="s">
        <v>93</v>
      </c>
      <c r="M7" s="7">
        <v>20000</v>
      </c>
      <c r="N7" s="8"/>
      <c r="P7" t="s">
        <v>26</v>
      </c>
      <c r="Q7" s="7">
        <f>SUM(G6:G10)</f>
        <v>31952</v>
      </c>
    </row>
    <row r="8" spans="1:32" x14ac:dyDescent="0.35">
      <c r="C8" t="s">
        <v>24</v>
      </c>
      <c r="D8" s="8" t="s">
        <v>27</v>
      </c>
      <c r="G8" s="7">
        <v>19009</v>
      </c>
      <c r="H8" s="7">
        <v>15053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28</v>
      </c>
      <c r="G9" s="7">
        <v>426</v>
      </c>
      <c r="H9" s="7">
        <v>435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2216</v>
      </c>
      <c r="H10" s="7">
        <v>3000</v>
      </c>
      <c r="I10" s="3"/>
      <c r="J10" s="8"/>
      <c r="N10" s="8"/>
    </row>
    <row r="11" spans="1:32" x14ac:dyDescent="0.35">
      <c r="D11" s="8" t="s">
        <v>31</v>
      </c>
      <c r="E11" t="s">
        <v>32</v>
      </c>
      <c r="G11" s="7">
        <v>33948</v>
      </c>
      <c r="H11" s="7">
        <v>35700</v>
      </c>
      <c r="I11" s="3"/>
      <c r="N11" s="8"/>
      <c r="O11" s="12"/>
      <c r="R11">
        <f>14514*2</f>
        <v>29028</v>
      </c>
      <c r="AE11" t="s">
        <v>34</v>
      </c>
      <c r="AF11">
        <v>40000</v>
      </c>
    </row>
    <row r="12" spans="1:32" x14ac:dyDescent="0.35">
      <c r="D12" t="s">
        <v>35</v>
      </c>
      <c r="E12" t="s">
        <v>36</v>
      </c>
      <c r="F12" t="s">
        <v>11</v>
      </c>
      <c r="G12" s="29">
        <v>50000</v>
      </c>
      <c r="H12" s="29">
        <v>50000</v>
      </c>
      <c r="I12" s="3"/>
      <c r="AF12">
        <f>SUM(AF5:AF11)</f>
        <v>225000</v>
      </c>
    </row>
    <row r="13" spans="1:32" x14ac:dyDescent="0.35">
      <c r="D13" t="s">
        <v>35</v>
      </c>
      <c r="E13" t="s">
        <v>36</v>
      </c>
      <c r="F13" t="s">
        <v>39</v>
      </c>
      <c r="G13" s="31"/>
      <c r="H13" s="31"/>
      <c r="I13" s="3"/>
      <c r="J13" s="8" t="s">
        <v>104</v>
      </c>
      <c r="K13" s="8"/>
      <c r="M13" s="7"/>
    </row>
    <row r="14" spans="1:32" x14ac:dyDescent="0.35">
      <c r="D14" t="s">
        <v>35</v>
      </c>
      <c r="E14" t="s">
        <v>36</v>
      </c>
      <c r="F14" t="s">
        <v>40</v>
      </c>
      <c r="G14" s="29">
        <v>50000</v>
      </c>
      <c r="H14" s="29">
        <v>50000</v>
      </c>
      <c r="I14" s="3"/>
      <c r="J14" s="8" t="s">
        <v>37</v>
      </c>
      <c r="K14" s="8" t="s">
        <v>38</v>
      </c>
      <c r="M14" s="7">
        <v>38000</v>
      </c>
      <c r="Q14">
        <v>81287</v>
      </c>
    </row>
    <row r="15" spans="1:32" x14ac:dyDescent="0.35">
      <c r="A15" s="8" t="s">
        <v>41</v>
      </c>
      <c r="B15" s="14" t="s">
        <v>42</v>
      </c>
      <c r="C15" s="14">
        <v>2018</v>
      </c>
      <c r="D15" t="s">
        <v>35</v>
      </c>
      <c r="E15" t="s">
        <v>36</v>
      </c>
      <c r="F15" t="s">
        <v>14</v>
      </c>
      <c r="G15" s="29">
        <v>50000</v>
      </c>
      <c r="H15" s="29">
        <v>50000</v>
      </c>
      <c r="I15" s="3"/>
      <c r="J15" s="8" t="s">
        <v>37</v>
      </c>
      <c r="K15" s="8" t="s">
        <v>43</v>
      </c>
      <c r="M15" s="7">
        <v>36000</v>
      </c>
      <c r="Q15" t="e">
        <f>#REF!*2</f>
        <v>#REF!</v>
      </c>
    </row>
    <row r="16" spans="1:32" ht="15" thickBot="1" x14ac:dyDescent="0.4">
      <c r="A16" s="15">
        <v>766</v>
      </c>
      <c r="B16" s="15">
        <v>766</v>
      </c>
      <c r="C16" s="14">
        <v>774</v>
      </c>
      <c r="D16" t="s">
        <v>44</v>
      </c>
      <c r="E16" t="s">
        <v>45</v>
      </c>
      <c r="F16" t="s">
        <v>14</v>
      </c>
      <c r="G16" s="16">
        <v>74852</v>
      </c>
      <c r="H16" s="16">
        <v>70709</v>
      </c>
      <c r="I16" s="3"/>
      <c r="J16" s="8" t="s">
        <v>46</v>
      </c>
      <c r="M16" s="17">
        <f>SUM(M14:M15)</f>
        <v>74000</v>
      </c>
      <c r="N16">
        <v>73707</v>
      </c>
      <c r="Q16" t="e">
        <f>Q14-Q15</f>
        <v>#REF!</v>
      </c>
      <c r="X16">
        <f>SUM(A16:A18)</f>
        <v>1867</v>
      </c>
      <c r="Y16">
        <f>X16*V4</f>
        <v>191927.6</v>
      </c>
    </row>
    <row r="17" spans="1:27" ht="15" thickTop="1" x14ac:dyDescent="0.35">
      <c r="A17" s="15">
        <v>504</v>
      </c>
      <c r="B17" s="15">
        <v>504</v>
      </c>
      <c r="D17" t="s">
        <v>47</v>
      </c>
      <c r="E17" t="s">
        <v>48</v>
      </c>
      <c r="F17" t="s">
        <v>49</v>
      </c>
      <c r="G17" s="16">
        <f>(24473-G9)+25001</f>
        <v>49048</v>
      </c>
      <c r="H17" s="16">
        <f>(23229-H9)+23723</f>
        <v>46517</v>
      </c>
      <c r="I17" s="3"/>
    </row>
    <row r="18" spans="1:27" x14ac:dyDescent="0.35">
      <c r="A18" s="15">
        <v>597</v>
      </c>
      <c r="B18" s="15">
        <v>555</v>
      </c>
      <c r="C18">
        <v>800</v>
      </c>
      <c r="D18" t="s">
        <v>50</v>
      </c>
      <c r="F18" t="s">
        <v>14</v>
      </c>
      <c r="G18" s="16">
        <v>79004</v>
      </c>
      <c r="H18" s="16">
        <v>73134</v>
      </c>
      <c r="I18" s="3"/>
    </row>
    <row r="19" spans="1:27" x14ac:dyDescent="0.35">
      <c r="A19" s="14">
        <v>2011</v>
      </c>
      <c r="B19" s="14"/>
      <c r="C19" s="14">
        <v>99</v>
      </c>
      <c r="D19" s="14" t="s">
        <v>51</v>
      </c>
      <c r="E19" s="14" t="s">
        <v>52</v>
      </c>
      <c r="F19" s="14" t="s">
        <v>14</v>
      </c>
      <c r="G19" s="18"/>
      <c r="H19" s="18"/>
      <c r="I19" s="3"/>
      <c r="J19" s="14" t="s">
        <v>51</v>
      </c>
      <c r="K19" s="14" t="s">
        <v>52</v>
      </c>
      <c r="L19" s="14"/>
      <c r="M19" s="14"/>
      <c r="N19" s="19">
        <v>42156</v>
      </c>
      <c r="P19">
        <v>37666</v>
      </c>
      <c r="W19">
        <f>388*70/1.43</f>
        <v>18993.006993006995</v>
      </c>
    </row>
    <row r="20" spans="1:27" x14ac:dyDescent="0.35">
      <c r="A20" s="14">
        <v>2012</v>
      </c>
      <c r="B20" s="14"/>
      <c r="C20" s="14">
        <v>96</v>
      </c>
      <c r="D20" s="14" t="s">
        <v>51</v>
      </c>
      <c r="E20" s="20" t="s">
        <v>53</v>
      </c>
      <c r="F20" s="14" t="s">
        <v>14</v>
      </c>
      <c r="G20" s="18"/>
      <c r="H20" s="18"/>
      <c r="I20" s="14"/>
      <c r="J20" s="14" t="s">
        <v>51</v>
      </c>
      <c r="K20" s="20" t="s">
        <v>53</v>
      </c>
      <c r="L20" s="14"/>
      <c r="M20" s="14"/>
      <c r="N20" s="19">
        <v>41791</v>
      </c>
      <c r="P20">
        <v>35143</v>
      </c>
    </row>
    <row r="21" spans="1:27" x14ac:dyDescent="0.35">
      <c r="A21" s="14">
        <v>2013</v>
      </c>
      <c r="B21" s="14"/>
      <c r="C21" s="14">
        <v>87</v>
      </c>
      <c r="D21" s="14" t="s">
        <v>51</v>
      </c>
      <c r="E21" s="21" t="s">
        <v>54</v>
      </c>
      <c r="F21" s="14" t="s">
        <v>14</v>
      </c>
      <c r="G21" s="18"/>
      <c r="H21" s="18"/>
      <c r="I21" s="14"/>
      <c r="J21" s="14" t="s">
        <v>51</v>
      </c>
      <c r="K21" s="21" t="s">
        <v>54</v>
      </c>
      <c r="L21" s="14"/>
      <c r="M21" s="14"/>
      <c r="N21" s="19">
        <v>42583</v>
      </c>
    </row>
    <row r="22" spans="1:27" ht="15" thickBot="1" x14ac:dyDescent="0.4">
      <c r="M22" s="17">
        <f>SUM(M19:M21)</f>
        <v>0</v>
      </c>
    </row>
    <row r="23" spans="1:27" ht="15" thickTop="1" x14ac:dyDescent="0.35"/>
    <row r="24" spans="1:27" ht="15" thickBot="1" x14ac:dyDescent="0.4">
      <c r="D24" s="3" t="s">
        <v>46</v>
      </c>
      <c r="G24" s="22">
        <f>SUM(G4:G18)</f>
        <v>536746</v>
      </c>
      <c r="H24" s="22">
        <f>SUM(H4:H18)</f>
        <v>519120</v>
      </c>
      <c r="I24" s="18">
        <v>504894</v>
      </c>
      <c r="M24" s="7">
        <f>M9+M16</f>
        <v>122500</v>
      </c>
      <c r="Z24">
        <v>1155</v>
      </c>
    </row>
    <row r="25" spans="1:27" ht="15" thickTop="1" x14ac:dyDescent="0.35">
      <c r="Q25">
        <v>900</v>
      </c>
      <c r="Z25">
        <v>80.13</v>
      </c>
    </row>
    <row r="26" spans="1:27" ht="15" thickBot="1" x14ac:dyDescent="0.4">
      <c r="D26" s="8" t="s">
        <v>55</v>
      </c>
      <c r="G26" s="22">
        <f>G24</f>
        <v>536746</v>
      </c>
      <c r="H26" s="22">
        <v>584474</v>
      </c>
      <c r="I26" s="7">
        <f>G24-H24</f>
        <v>17626</v>
      </c>
      <c r="K26">
        <v>77</v>
      </c>
      <c r="AA26">
        <f>Z25*Z24</f>
        <v>92550.15</v>
      </c>
    </row>
    <row r="27" spans="1:27" ht="15" thickTop="1" x14ac:dyDescent="0.35">
      <c r="D27" s="3" t="s">
        <v>56</v>
      </c>
      <c r="N27" s="8" t="s">
        <v>57</v>
      </c>
      <c r="O27" s="8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3" t="s">
        <v>58</v>
      </c>
      <c r="Z27">
        <v>1.5</v>
      </c>
      <c r="AA27">
        <f>AA26/Z27</f>
        <v>61700.1</v>
      </c>
    </row>
    <row r="28" spans="1:27" x14ac:dyDescent="0.35">
      <c r="D28" s="8" t="s">
        <v>59</v>
      </c>
      <c r="E28" s="8" t="s">
        <v>60</v>
      </c>
      <c r="G28">
        <v>0</v>
      </c>
      <c r="O28">
        <v>2015</v>
      </c>
      <c r="P28" s="24">
        <v>2016</v>
      </c>
      <c r="Q28" s="24">
        <v>2017</v>
      </c>
      <c r="R28" s="24">
        <v>2018</v>
      </c>
      <c r="S28" s="24">
        <v>2019</v>
      </c>
      <c r="T28" s="24">
        <v>2020</v>
      </c>
      <c r="U28">
        <f>T28+1</f>
        <v>2021</v>
      </c>
    </row>
    <row r="29" spans="1:27" x14ac:dyDescent="0.35">
      <c r="D29" s="8" t="s">
        <v>61</v>
      </c>
      <c r="G29">
        <v>15000</v>
      </c>
      <c r="N29" t="s">
        <v>62</v>
      </c>
      <c r="O29">
        <v>164433.05128205128</v>
      </c>
      <c r="P29" s="5">
        <v>248589.40162966101</v>
      </c>
      <c r="Q29" s="5">
        <v>314989.18799999997</v>
      </c>
      <c r="R29" s="5">
        <v>335945</v>
      </c>
      <c r="S29" s="5">
        <v>336562</v>
      </c>
      <c r="T29" s="5">
        <v>374989.18799999997</v>
      </c>
    </row>
    <row r="30" spans="1:27" x14ac:dyDescent="0.35">
      <c r="D30" s="8" t="s">
        <v>63</v>
      </c>
      <c r="G30">
        <v>2000</v>
      </c>
      <c r="O30" s="7">
        <v>0</v>
      </c>
      <c r="P30" s="5">
        <v>0</v>
      </c>
      <c r="Q30" s="5"/>
      <c r="R30" s="5"/>
      <c r="S30" s="5">
        <v>30000</v>
      </c>
      <c r="T30" s="5">
        <v>7000</v>
      </c>
    </row>
    <row r="31" spans="1:27" ht="15" thickBot="1" x14ac:dyDescent="0.4">
      <c r="G31" s="25">
        <f>SUM(G28:G30)</f>
        <v>17000</v>
      </c>
      <c r="N31" t="s">
        <v>64</v>
      </c>
      <c r="O31" s="7">
        <v>29028</v>
      </c>
      <c r="P31" s="24"/>
      <c r="Q31" s="5"/>
      <c r="R31" s="5"/>
      <c r="S31" s="5"/>
      <c r="T31" s="5"/>
    </row>
    <row r="32" spans="1:27" ht="15" thickTop="1" x14ac:dyDescent="0.35">
      <c r="N32" t="s">
        <v>46</v>
      </c>
      <c r="O32" s="7">
        <v>193461.05128205128</v>
      </c>
      <c r="P32" s="5">
        <v>248589.40162966101</v>
      </c>
      <c r="Q32" s="5">
        <v>314989.18799999997</v>
      </c>
      <c r="R32" s="5">
        <v>335945</v>
      </c>
      <c r="S32" s="5">
        <v>374989.18799999997</v>
      </c>
      <c r="T32" s="5">
        <v>381989.18799999997</v>
      </c>
    </row>
    <row r="33" spans="4:27" x14ac:dyDescent="0.35">
      <c r="D33" s="8" t="s">
        <v>65</v>
      </c>
      <c r="G33">
        <v>1600</v>
      </c>
      <c r="P33" s="7">
        <v>55128.350347609725</v>
      </c>
      <c r="Q33" s="7">
        <v>66399.786370338959</v>
      </c>
      <c r="R33" s="7">
        <f>R32-Q32</f>
        <v>20955.812000000034</v>
      </c>
    </row>
    <row r="35" spans="4:27" ht="15" thickBot="1" x14ac:dyDescent="0.4">
      <c r="D35" s="8" t="s">
        <v>66</v>
      </c>
      <c r="G35" s="17">
        <f>G26+G31-G33</f>
        <v>552146</v>
      </c>
      <c r="N35" t="s">
        <v>67</v>
      </c>
      <c r="P35" s="26">
        <v>282432.88663898304</v>
      </c>
      <c r="Q35" s="7">
        <v>33843.48500932203</v>
      </c>
      <c r="R35" s="7">
        <v>8687</v>
      </c>
      <c r="S35" s="7">
        <v>120736</v>
      </c>
      <c r="Z35" t="s">
        <v>68</v>
      </c>
      <c r="AA35">
        <v>1500</v>
      </c>
    </row>
    <row r="36" spans="4:27" ht="15" thickTop="1" x14ac:dyDescent="0.35">
      <c r="N36" t="s">
        <v>42</v>
      </c>
      <c r="P36" s="26">
        <v>294892.69565217395</v>
      </c>
      <c r="Q36" s="7">
        <v>12459.809013190912</v>
      </c>
      <c r="R36" s="7">
        <v>5697</v>
      </c>
      <c r="S36" s="7">
        <v>43735</v>
      </c>
    </row>
    <row r="37" spans="4:27" ht="15" thickBot="1" x14ac:dyDescent="0.4">
      <c r="D37" s="8" t="s">
        <v>69</v>
      </c>
      <c r="G37" s="17">
        <f>M24</f>
        <v>122500</v>
      </c>
      <c r="N37" t="s">
        <v>41</v>
      </c>
      <c r="P37" s="26">
        <v>310690.6944444445</v>
      </c>
      <c r="Q37" s="7">
        <v>15797.998792270548</v>
      </c>
      <c r="R37" s="7">
        <v>37050</v>
      </c>
      <c r="S37" s="7">
        <v>-7000</v>
      </c>
    </row>
    <row r="38" spans="4:27" ht="15" thickTop="1" x14ac:dyDescent="0.35">
      <c r="N38" t="s">
        <v>70</v>
      </c>
      <c r="P38" s="27">
        <v>314989.18799999997</v>
      </c>
      <c r="Q38" s="7">
        <v>4298.4935555554694</v>
      </c>
      <c r="R38" s="7">
        <v>-31361</v>
      </c>
      <c r="S38" s="7">
        <v>11634</v>
      </c>
    </row>
    <row r="39" spans="4:27" x14ac:dyDescent="0.35">
      <c r="D39" s="8" t="s">
        <v>37</v>
      </c>
      <c r="G39">
        <v>360000</v>
      </c>
      <c r="Q39" s="7">
        <v>66399.786370338959</v>
      </c>
      <c r="R39" s="7">
        <f>SUM(R35:R38)</f>
        <v>20073</v>
      </c>
      <c r="S39" s="7">
        <f>SUM(S35:S38)</f>
        <v>169105</v>
      </c>
    </row>
    <row r="40" spans="4:27" ht="15" thickBot="1" x14ac:dyDescent="0.4">
      <c r="D40" s="8" t="s">
        <v>71</v>
      </c>
      <c r="G40" s="25">
        <f>G39</f>
        <v>360000</v>
      </c>
    </row>
    <row r="41" spans="4:27" ht="15" thickTop="1" x14ac:dyDescent="0.35">
      <c r="N41" s="8" t="s">
        <v>72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Z41" t="s">
        <v>73</v>
      </c>
    </row>
    <row r="42" spans="4:27" x14ac:dyDescent="0.35">
      <c r="D42" s="8" t="s">
        <v>74</v>
      </c>
      <c r="G42" s="7">
        <f>G40+G37+G35</f>
        <v>1034646</v>
      </c>
      <c r="O42">
        <v>2015</v>
      </c>
      <c r="P42">
        <v>2016</v>
      </c>
      <c r="Q42">
        <v>2017</v>
      </c>
      <c r="R42">
        <v>2018</v>
      </c>
      <c r="S42">
        <v>2019</v>
      </c>
      <c r="T42">
        <v>2020</v>
      </c>
      <c r="Z42" t="s">
        <v>75</v>
      </c>
      <c r="AA42" t="s">
        <v>76</v>
      </c>
    </row>
    <row r="43" spans="4:27" x14ac:dyDescent="0.35">
      <c r="N43" t="s">
        <v>77</v>
      </c>
      <c r="O43" s="7">
        <v>105896.15384615386</v>
      </c>
      <c r="P43" s="7">
        <v>163396.15384615387</v>
      </c>
      <c r="Q43" s="7">
        <v>193396.15384615387</v>
      </c>
      <c r="R43" s="7">
        <v>223396.15384615387</v>
      </c>
      <c r="S43" s="7">
        <v>253396.15384615387</v>
      </c>
      <c r="T43" s="7">
        <v>283396.15384615387</v>
      </c>
    </row>
    <row r="44" spans="4:27" x14ac:dyDescent="0.35">
      <c r="N44" s="8" t="s">
        <v>78</v>
      </c>
      <c r="O44" s="7">
        <v>30000</v>
      </c>
      <c r="P44" s="7">
        <v>30000</v>
      </c>
      <c r="Q44" s="7">
        <v>30000</v>
      </c>
      <c r="R44" s="7">
        <v>30000</v>
      </c>
      <c r="S44" s="7">
        <v>30000</v>
      </c>
      <c r="T44" s="7">
        <v>30000</v>
      </c>
    </row>
    <row r="45" spans="4:27" x14ac:dyDescent="0.35">
      <c r="N45" t="s">
        <v>79</v>
      </c>
      <c r="O45" s="7">
        <v>27500.000000000004</v>
      </c>
      <c r="P45" s="7"/>
      <c r="Q45" s="7"/>
      <c r="R45" s="7"/>
      <c r="S45" s="7"/>
      <c r="T45" s="7"/>
    </row>
    <row r="46" spans="4:27" x14ac:dyDescent="0.35">
      <c r="N46" t="s">
        <v>46</v>
      </c>
      <c r="O46" s="7">
        <v>163396.15384615387</v>
      </c>
      <c r="P46" s="7">
        <v>193396.15384615387</v>
      </c>
      <c r="Q46" s="7">
        <v>223396.15384615387</v>
      </c>
      <c r="R46" s="7">
        <v>253396.15384615387</v>
      </c>
      <c r="S46" s="7">
        <v>283396.15384615387</v>
      </c>
      <c r="T46" s="7">
        <v>313396.15384615387</v>
      </c>
    </row>
    <row r="47" spans="4:27" x14ac:dyDescent="0.35">
      <c r="T47" s="7">
        <f>T46-P32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5297-5436-41FD-95CC-71F25E517A47}">
  <dimension ref="A1:AF48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32">
        <v>44227</v>
      </c>
      <c r="H3" s="1" t="s">
        <v>102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58600</v>
      </c>
      <c r="H4" s="7">
        <v>58971</v>
      </c>
      <c r="I4" s="3"/>
      <c r="J4" t="s">
        <v>105</v>
      </c>
      <c r="Q4" s="7">
        <f>G25-R4</f>
        <v>367559</v>
      </c>
      <c r="R4" s="7">
        <f>SUM(G12:G16)</f>
        <v>158000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58600</v>
      </c>
      <c r="H5" s="7">
        <v>58971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8661</v>
      </c>
      <c r="H6" s="7">
        <v>8862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#REF!+#REF!+G17+G18+G19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1414</v>
      </c>
      <c r="H7" s="7">
        <v>1439</v>
      </c>
      <c r="I7" s="3"/>
      <c r="J7" s="8" t="s">
        <v>93</v>
      </c>
      <c r="M7" s="7">
        <v>20000</v>
      </c>
      <c r="N7" s="8"/>
      <c r="P7" t="s">
        <v>26</v>
      </c>
      <c r="Q7" s="7">
        <f>SUM(G6:G10)</f>
        <v>30799</v>
      </c>
    </row>
    <row r="8" spans="1:32" x14ac:dyDescent="0.35">
      <c r="C8" t="s">
        <v>24</v>
      </c>
      <c r="D8" s="8" t="s">
        <v>27</v>
      </c>
      <c r="G8" s="7">
        <v>18865</v>
      </c>
      <c r="H8" s="7">
        <v>19009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28</v>
      </c>
      <c r="G9" s="7">
        <v>439</v>
      </c>
      <c r="H9" s="7">
        <v>426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1420</v>
      </c>
      <c r="H10" s="7">
        <v>2216</v>
      </c>
      <c r="I10" s="3"/>
      <c r="J10" s="8"/>
      <c r="N10" s="8"/>
    </row>
    <row r="11" spans="1:32" x14ac:dyDescent="0.35">
      <c r="D11" s="8" t="s">
        <v>107</v>
      </c>
      <c r="G11" s="7">
        <v>23024</v>
      </c>
      <c r="H11" s="7"/>
      <c r="I11" s="3"/>
      <c r="J11" s="8"/>
      <c r="N11" s="8"/>
    </row>
    <row r="12" spans="1:32" x14ac:dyDescent="0.35">
      <c r="D12" s="8" t="s">
        <v>31</v>
      </c>
      <c r="E12" t="s">
        <v>32</v>
      </c>
      <c r="G12" s="7">
        <v>8000</v>
      </c>
      <c r="H12" s="7">
        <v>33948</v>
      </c>
      <c r="I12" s="3"/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v>38000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v>36000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774</v>
      </c>
      <c r="D17" t="s">
        <v>44</v>
      </c>
      <c r="E17" t="s">
        <v>45</v>
      </c>
      <c r="F17" t="s">
        <v>14</v>
      </c>
      <c r="G17" s="16">
        <v>71991</v>
      </c>
      <c r="H17" s="16">
        <v>74852</v>
      </c>
      <c r="I17" s="3"/>
      <c r="J17" s="8" t="s">
        <v>46</v>
      </c>
      <c r="M17" s="17">
        <f>SUM(M15:M16)</f>
        <v>74000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D18" t="s">
        <v>47</v>
      </c>
      <c r="E18" t="s">
        <v>48</v>
      </c>
      <c r="F18" t="s">
        <v>49</v>
      </c>
      <c r="G18" s="16">
        <f>22892+217+24043</f>
        <v>47152</v>
      </c>
      <c r="H18" s="16">
        <f>(24473-H9)+25001</f>
        <v>49048</v>
      </c>
      <c r="I18" s="3"/>
    </row>
    <row r="19" spans="1:27" x14ac:dyDescent="0.35">
      <c r="A19" s="15">
        <v>597</v>
      </c>
      <c r="B19" s="15">
        <v>555</v>
      </c>
      <c r="C19">
        <v>832</v>
      </c>
      <c r="D19" t="s">
        <v>50</v>
      </c>
      <c r="F19" t="s">
        <v>14</v>
      </c>
      <c r="G19" s="16">
        <v>77393</v>
      </c>
      <c r="H19" s="16">
        <v>79004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525559</v>
      </c>
      <c r="H25" s="22">
        <f>SUM(H4:H19)</f>
        <v>536746</v>
      </c>
      <c r="I25" s="18">
        <v>504894</v>
      </c>
      <c r="M25" s="7">
        <f>M9+M17</f>
        <v>122500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>
        <f>G25</f>
        <v>525559</v>
      </c>
      <c r="H27" s="22">
        <v>584474</v>
      </c>
      <c r="I27" s="7">
        <f>G25-H25</f>
        <v>-11187</v>
      </c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540959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122500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1023459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1BA9-5702-417E-A0CB-E91100B227C4}">
  <dimension ref="A1:AF48"/>
  <sheetViews>
    <sheetView topLeftCell="A4" workbookViewId="0">
      <selection activeCell="A4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32">
        <v>44227</v>
      </c>
      <c r="H3" s="32">
        <v>44227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58560</v>
      </c>
      <c r="H4" s="7">
        <v>58600</v>
      </c>
      <c r="I4" s="3"/>
      <c r="J4" t="s">
        <v>105</v>
      </c>
      <c r="Q4" s="7">
        <f>G25-R4</f>
        <v>366933</v>
      </c>
      <c r="R4" s="7">
        <f>SUM(G12:G16)</f>
        <v>156780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58560</v>
      </c>
      <c r="H5" s="7">
        <v>58600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8756</v>
      </c>
      <c r="H6" s="7">
        <v>8661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#REF!+#REF!+G17+G18+G19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1322</v>
      </c>
      <c r="H7" s="7">
        <v>1414</v>
      </c>
      <c r="I7" s="3"/>
      <c r="J7" s="8" t="s">
        <v>93</v>
      </c>
      <c r="M7" s="7">
        <v>20000</v>
      </c>
      <c r="N7" s="8"/>
      <c r="P7" t="s">
        <v>26</v>
      </c>
      <c r="Q7" s="7">
        <f>SUM(G6:G10)</f>
        <v>30458</v>
      </c>
    </row>
    <row r="8" spans="1:32" x14ac:dyDescent="0.35">
      <c r="C8" t="s">
        <v>24</v>
      </c>
      <c r="D8" s="8" t="s">
        <v>27</v>
      </c>
      <c r="G8" s="7">
        <v>18773</v>
      </c>
      <c r="H8" s="7">
        <v>18865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108</v>
      </c>
      <c r="G9" s="7">
        <v>468</v>
      </c>
      <c r="H9" s="7">
        <v>439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1139</v>
      </c>
      <c r="H10" s="7">
        <v>1420</v>
      </c>
      <c r="I10" s="3"/>
      <c r="J10" s="8"/>
      <c r="N10" s="8"/>
    </row>
    <row r="11" spans="1:32" x14ac:dyDescent="0.35">
      <c r="D11" s="8" t="s">
        <v>107</v>
      </c>
      <c r="G11" s="7">
        <f>58262-(G9+22137+5468)</f>
        <v>30189</v>
      </c>
      <c r="H11" s="7">
        <v>23024</v>
      </c>
      <c r="I11" s="3"/>
      <c r="J11" s="8"/>
      <c r="N11" s="8"/>
    </row>
    <row r="12" spans="1:32" x14ac:dyDescent="0.35">
      <c r="D12" s="8" t="s">
        <v>31</v>
      </c>
      <c r="E12" t="s">
        <v>32</v>
      </c>
      <c r="G12" s="7">
        <f>7780-1000</f>
        <v>6780</v>
      </c>
      <c r="H12" s="7">
        <v>8000</v>
      </c>
      <c r="I12" s="3"/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v>38000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v>36000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774</v>
      </c>
      <c r="D17" t="s">
        <v>44</v>
      </c>
      <c r="E17" t="s">
        <v>45</v>
      </c>
      <c r="F17" t="s">
        <v>14</v>
      </c>
      <c r="G17" s="16">
        <v>68635</v>
      </c>
      <c r="H17" s="16">
        <v>71991</v>
      </c>
      <c r="I17" s="3"/>
      <c r="J17" s="8" t="s">
        <v>46</v>
      </c>
      <c r="M17" s="17">
        <f>SUM(M15:M16)</f>
        <v>74000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D18" t="s">
        <v>47</v>
      </c>
      <c r="E18" t="s">
        <v>48</v>
      </c>
      <c r="F18" t="s">
        <v>49</v>
      </c>
      <c r="G18" s="16">
        <f>21947+190+23246</f>
        <v>45383</v>
      </c>
      <c r="H18" s="16">
        <f>22892+217+24043</f>
        <v>47152</v>
      </c>
      <c r="I18" s="3"/>
    </row>
    <row r="19" spans="1:27" x14ac:dyDescent="0.35">
      <c r="A19" s="15">
        <v>597</v>
      </c>
      <c r="B19" s="15">
        <v>555</v>
      </c>
      <c r="C19">
        <v>847</v>
      </c>
      <c r="D19" t="s">
        <v>50</v>
      </c>
      <c r="F19" t="s">
        <v>14</v>
      </c>
      <c r="G19" s="16">
        <v>75148</v>
      </c>
      <c r="H19" s="16">
        <v>77393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523713</v>
      </c>
      <c r="H25" s="22">
        <f>SUM(H4:H19)</f>
        <v>525559</v>
      </c>
      <c r="I25" s="7">
        <f>G25-H25</f>
        <v>-1846</v>
      </c>
      <c r="M25" s="7">
        <f>M9+M17</f>
        <v>122500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122500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497900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CA61-F7B7-4F93-9D3A-DBD74EF4F0BC}">
  <dimension ref="A1:AF48"/>
  <sheetViews>
    <sheetView topLeftCell="A4" workbookViewId="0">
      <selection activeCell="A4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D3" s="3" t="s">
        <v>3</v>
      </c>
      <c r="E3" s="3" t="s">
        <v>4</v>
      </c>
      <c r="F3" s="3" t="s">
        <v>5</v>
      </c>
      <c r="G3" s="32">
        <v>44286</v>
      </c>
      <c r="H3" s="32">
        <v>44227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58606</v>
      </c>
      <c r="H4" s="7">
        <v>58600</v>
      </c>
      <c r="I4" s="3"/>
      <c r="J4" t="s">
        <v>105</v>
      </c>
      <c r="Q4" s="7">
        <f>G25-R4</f>
        <v>368569</v>
      </c>
      <c r="R4" s="7">
        <f>SUM(G12:G16)</f>
        <v>171300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58606</v>
      </c>
      <c r="H5" s="7">
        <v>58600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8941</v>
      </c>
      <c r="H6" s="7">
        <v>8661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#REF!+#REF!+G17+G18+G19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1309</v>
      </c>
      <c r="H7" s="7">
        <v>1414</v>
      </c>
      <c r="I7" s="3"/>
      <c r="J7" s="8" t="s">
        <v>93</v>
      </c>
      <c r="M7" s="7">
        <v>20000</v>
      </c>
      <c r="N7" s="8"/>
      <c r="P7" t="s">
        <v>26</v>
      </c>
      <c r="Q7" s="7">
        <f>SUM(G6:G10)</f>
        <v>31389</v>
      </c>
    </row>
    <row r="8" spans="1:32" x14ac:dyDescent="0.35">
      <c r="C8" t="s">
        <v>24</v>
      </c>
      <c r="D8" s="8" t="s">
        <v>27</v>
      </c>
      <c r="G8" s="7">
        <v>19029</v>
      </c>
      <c r="H8" s="7">
        <v>18865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108</v>
      </c>
      <c r="G9" s="7">
        <v>620</v>
      </c>
      <c r="H9" s="7">
        <v>439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1490</v>
      </c>
      <c r="H10" s="7">
        <v>1420</v>
      </c>
      <c r="I10" s="3"/>
      <c r="J10" s="8"/>
      <c r="N10" s="8"/>
    </row>
    <row r="11" spans="1:32" x14ac:dyDescent="0.35">
      <c r="D11" s="8" t="s">
        <v>107</v>
      </c>
      <c r="G11" s="7">
        <v>28000</v>
      </c>
      <c r="H11" s="7">
        <v>23024</v>
      </c>
      <c r="I11" s="3"/>
      <c r="J11" s="8"/>
      <c r="N11" s="8"/>
    </row>
    <row r="12" spans="1:32" x14ac:dyDescent="0.35">
      <c r="D12" s="8" t="s">
        <v>31</v>
      </c>
      <c r="E12" t="s">
        <v>32</v>
      </c>
      <c r="G12" s="7">
        <v>21300</v>
      </c>
      <c r="H12" s="7">
        <v>8000</v>
      </c>
      <c r="I12" s="3"/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v>38000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v>36000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774</v>
      </c>
      <c r="D17" t="s">
        <v>44</v>
      </c>
      <c r="E17" t="s">
        <v>110</v>
      </c>
      <c r="F17" t="s">
        <v>14</v>
      </c>
      <c r="G17" s="16">
        <v>68883</v>
      </c>
      <c r="H17" s="16">
        <v>71991</v>
      </c>
      <c r="I17" s="3"/>
      <c r="J17" s="8" t="s">
        <v>46</v>
      </c>
      <c r="M17" s="17">
        <f>SUM(M15:M16)</f>
        <v>74000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D18" t="s">
        <v>111</v>
      </c>
      <c r="E18" t="s">
        <v>48</v>
      </c>
      <c r="F18" t="s">
        <v>49</v>
      </c>
      <c r="G18" s="16">
        <f>23501+22680</f>
        <v>46181</v>
      </c>
      <c r="H18" s="16">
        <f>22892+217+24043</f>
        <v>47152</v>
      </c>
      <c r="I18" s="3"/>
    </row>
    <row r="19" spans="1:27" x14ac:dyDescent="0.35">
      <c r="A19" s="15">
        <v>597</v>
      </c>
      <c r="B19" s="15">
        <v>555</v>
      </c>
      <c r="C19">
        <v>864.54</v>
      </c>
      <c r="D19" t="s">
        <v>50</v>
      </c>
      <c r="E19" t="s">
        <v>110</v>
      </c>
      <c r="F19" t="s">
        <v>14</v>
      </c>
      <c r="G19" s="16">
        <v>76904</v>
      </c>
      <c r="H19" s="16">
        <v>77393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539869</v>
      </c>
      <c r="H25" s="22">
        <f>SUM(H4:H19)</f>
        <v>525559</v>
      </c>
      <c r="I25" s="7">
        <f>G25-H25</f>
        <v>14310</v>
      </c>
      <c r="M25" s="7">
        <f>M9+M17</f>
        <v>122500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122500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497900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B0C-1FB1-4D22-BB83-4B16D06A84B6}">
  <dimension ref="A1:AF48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44347</v>
      </c>
      <c r="H3" s="32">
        <v>44316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60898</v>
      </c>
      <c r="H4" s="7">
        <v>61166</v>
      </c>
      <c r="I4" s="3"/>
      <c r="J4" t="s">
        <v>105</v>
      </c>
      <c r="Q4" s="7">
        <f>G25-R4</f>
        <v>398026</v>
      </c>
      <c r="R4" s="7">
        <f>SUM(G12:G16)</f>
        <v>157000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60898</v>
      </c>
      <c r="H5" s="7">
        <v>61166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9400</v>
      </c>
      <c r="H6" s="7">
        <v>9495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#REF!+#REF!+G17+G18+G19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1223</v>
      </c>
      <c r="H7" s="7">
        <v>1266</v>
      </c>
      <c r="I7" s="3"/>
      <c r="J7" s="8" t="s">
        <v>93</v>
      </c>
      <c r="M7" s="7">
        <v>20000</v>
      </c>
      <c r="N7" s="8"/>
      <c r="P7" t="s">
        <v>26</v>
      </c>
      <c r="Q7" s="7">
        <f>SUM(G6:G10)</f>
        <v>31234</v>
      </c>
    </row>
    <row r="8" spans="1:32" x14ac:dyDescent="0.35">
      <c r="C8" t="s">
        <v>24</v>
      </c>
      <c r="D8" s="8" t="s">
        <v>27</v>
      </c>
      <c r="G8">
        <v>18643</v>
      </c>
      <c r="H8" s="7">
        <v>19165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108</v>
      </c>
      <c r="G9" s="7">
        <v>718</v>
      </c>
      <c r="H9" s="7">
        <v>698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1250</v>
      </c>
      <c r="H10" s="7">
        <v>1403</v>
      </c>
      <c r="I10" s="3"/>
      <c r="J10" s="8" t="s">
        <v>113</v>
      </c>
      <c r="N10" s="8"/>
    </row>
    <row r="11" spans="1:32" x14ac:dyDescent="0.35">
      <c r="D11" s="8" t="s">
        <v>107</v>
      </c>
      <c r="G11" s="5">
        <v>28000</v>
      </c>
      <c r="H11" s="5">
        <v>28000</v>
      </c>
      <c r="I11" s="3"/>
      <c r="J11" s="8" t="s">
        <v>14</v>
      </c>
      <c r="M11">
        <v>9000</v>
      </c>
      <c r="N11" s="8"/>
    </row>
    <row r="12" spans="1:32" x14ac:dyDescent="0.35">
      <c r="D12" s="8" t="s">
        <v>31</v>
      </c>
      <c r="E12" t="s">
        <v>32</v>
      </c>
      <c r="G12" s="7">
        <v>7000</v>
      </c>
      <c r="H12" s="7">
        <v>9000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774</v>
      </c>
      <c r="D17" t="s">
        <v>44</v>
      </c>
      <c r="E17" t="s">
        <v>110</v>
      </c>
      <c r="F17" t="s">
        <v>14</v>
      </c>
      <c r="G17" s="29">
        <v>76583</v>
      </c>
      <c r="H17" s="29">
        <v>78758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D18" t="s">
        <v>111</v>
      </c>
      <c r="E18" t="s">
        <v>48</v>
      </c>
      <c r="F18" t="s">
        <v>49</v>
      </c>
      <c r="G18" s="29">
        <f>26323+25555</f>
        <v>51878</v>
      </c>
      <c r="H18" s="29">
        <f>26323+25555</f>
        <v>51878</v>
      </c>
      <c r="I18" s="3"/>
    </row>
    <row r="19" spans="1:27" x14ac:dyDescent="0.35">
      <c r="A19" s="15">
        <v>597</v>
      </c>
      <c r="B19" s="15">
        <v>555</v>
      </c>
      <c r="C19">
        <v>880</v>
      </c>
      <c r="D19" t="s">
        <v>50</v>
      </c>
      <c r="E19" t="s">
        <v>110</v>
      </c>
      <c r="F19" t="s">
        <v>14</v>
      </c>
      <c r="G19" s="29">
        <v>88535</v>
      </c>
      <c r="H19" s="29">
        <v>89536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555026</v>
      </c>
      <c r="H25" s="22">
        <f>SUM(H4:H19)</f>
        <v>561531</v>
      </c>
      <c r="I25" s="7">
        <f>G25-H25</f>
        <v>-6505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5D09-434F-4D13-815C-C0F2C52BD52B}">
  <dimension ref="A1:AF48"/>
  <sheetViews>
    <sheetView topLeftCell="C7" workbookViewId="0">
      <selection activeCell="C7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44377</v>
      </c>
      <c r="H3" s="32">
        <v>44347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37676+24892</f>
        <v>62568</v>
      </c>
      <c r="H4" s="7">
        <v>60898</v>
      </c>
      <c r="I4" s="3"/>
      <c r="J4" t="s">
        <v>105</v>
      </c>
      <c r="Q4" s="7">
        <f>G25-R4</f>
        <v>411777</v>
      </c>
      <c r="R4" s="7">
        <f>SUM(G12:G16)</f>
        <v>156000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37676+24892</f>
        <v>62568</v>
      </c>
      <c r="H5" s="7">
        <v>60898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10021</v>
      </c>
      <c r="H6" s="7">
        <v>9400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#REF!+#REF!+G17+G18+G19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1329</v>
      </c>
      <c r="H7" s="7">
        <v>1223</v>
      </c>
      <c r="I7" s="3"/>
      <c r="J7" s="8" t="s">
        <v>93</v>
      </c>
      <c r="M7" s="7">
        <v>20000</v>
      </c>
      <c r="N7" s="8"/>
      <c r="P7" t="s">
        <v>26</v>
      </c>
      <c r="Q7" s="7">
        <f>SUM(G6:G10)</f>
        <v>21990</v>
      </c>
    </row>
    <row r="8" spans="1:32" x14ac:dyDescent="0.35">
      <c r="C8" t="s">
        <v>24</v>
      </c>
      <c r="D8" s="8" t="s">
        <v>27</v>
      </c>
      <c r="G8">
        <v>8961</v>
      </c>
      <c r="H8">
        <v>18643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108</v>
      </c>
      <c r="G9" s="7">
        <v>679</v>
      </c>
      <c r="H9" s="7">
        <v>718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1000</v>
      </c>
      <c r="H10" s="7">
        <v>1250</v>
      </c>
      <c r="I10" s="3"/>
      <c r="J10" s="8" t="s">
        <v>113</v>
      </c>
      <c r="N10" s="8"/>
    </row>
    <row r="11" spans="1:32" x14ac:dyDescent="0.35">
      <c r="D11" s="8" t="s">
        <v>107</v>
      </c>
      <c r="G11" s="35">
        <f>28000+10252</f>
        <v>38252</v>
      </c>
      <c r="H11" s="5">
        <v>28000</v>
      </c>
      <c r="I11" s="3"/>
      <c r="J11" s="8" t="s">
        <v>14</v>
      </c>
      <c r="M11">
        <v>9000</v>
      </c>
      <c r="N11" s="8"/>
    </row>
    <row r="12" spans="1:32" x14ac:dyDescent="0.35">
      <c r="D12" s="8" t="s">
        <v>31</v>
      </c>
      <c r="E12" t="s">
        <v>32</v>
      </c>
      <c r="G12" s="35">
        <v>6000</v>
      </c>
      <c r="H12" s="7">
        <v>7000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783</v>
      </c>
      <c r="D17" t="s">
        <v>44</v>
      </c>
      <c r="E17" t="s">
        <v>110</v>
      </c>
      <c r="F17" t="s">
        <v>14</v>
      </c>
      <c r="G17" s="29">
        <v>79947</v>
      </c>
      <c r="H17" s="29">
        <v>76583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D18" t="s">
        <v>111</v>
      </c>
      <c r="E18" t="s">
        <v>48</v>
      </c>
      <c r="F18" t="s">
        <v>49</v>
      </c>
      <c r="G18" s="29">
        <f>25700+26750</f>
        <v>52450</v>
      </c>
      <c r="H18" s="29">
        <f>26323+25555</f>
        <v>51878</v>
      </c>
      <c r="I18" s="3"/>
    </row>
    <row r="19" spans="1:27" x14ac:dyDescent="0.35">
      <c r="A19" s="15">
        <v>597</v>
      </c>
      <c r="B19" s="15">
        <v>555</v>
      </c>
      <c r="C19">
        <v>880</v>
      </c>
      <c r="D19" t="s">
        <v>50</v>
      </c>
      <c r="E19" t="s">
        <v>110</v>
      </c>
      <c r="F19" t="s">
        <v>14</v>
      </c>
      <c r="G19" s="29">
        <v>94002</v>
      </c>
      <c r="H19" s="29">
        <v>88535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567777</v>
      </c>
      <c r="H25" s="22">
        <f>SUM(H4:H19)</f>
        <v>555026</v>
      </c>
      <c r="I25" s="7">
        <f>G25-H25</f>
        <v>12751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5927-919D-4EBD-8E0F-FB70509D31B0}">
  <dimension ref="A1:AF48"/>
  <sheetViews>
    <sheetView topLeftCell="A7" workbookViewId="0">
      <selection activeCell="A7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44407</v>
      </c>
      <c r="H3" s="32">
        <v>44377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63594</v>
      </c>
      <c r="H4" s="7">
        <f>37676+24892</f>
        <v>62568</v>
      </c>
      <c r="I4" s="3"/>
      <c r="J4" t="s">
        <v>105</v>
      </c>
      <c r="Q4" s="7">
        <f>H25-R4</f>
        <v>411777</v>
      </c>
      <c r="R4" s="7">
        <f>SUM(H12:H16)</f>
        <v>156000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63594</v>
      </c>
      <c r="H5" s="7">
        <f>37676+24892</f>
        <v>62568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10319</v>
      </c>
      <c r="H6" s="7">
        <v>10021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#REF!+#REF!+H17+H18+H19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1280</v>
      </c>
      <c r="H7" s="7">
        <v>1329</v>
      </c>
      <c r="I7" s="3"/>
      <c r="J7" s="8" t="s">
        <v>93</v>
      </c>
      <c r="M7" s="7">
        <v>20000</v>
      </c>
      <c r="N7" s="8"/>
      <c r="P7" t="s">
        <v>26</v>
      </c>
      <c r="Q7" s="7">
        <f>SUM(H6:H10)</f>
        <v>21990</v>
      </c>
    </row>
    <row r="8" spans="1:32" x14ac:dyDescent="0.35">
      <c r="C8" t="s">
        <v>24</v>
      </c>
      <c r="D8" s="8" t="s">
        <v>27</v>
      </c>
      <c r="G8" s="7">
        <v>8865</v>
      </c>
      <c r="H8">
        <v>8961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108</v>
      </c>
      <c r="G9" s="7">
        <v>700</v>
      </c>
      <c r="H9" s="7">
        <v>679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1244</v>
      </c>
      <c r="H10" s="7">
        <v>1000</v>
      </c>
      <c r="I10" s="3"/>
      <c r="J10" s="8" t="s">
        <v>113</v>
      </c>
      <c r="N10" s="8"/>
    </row>
    <row r="11" spans="1:32" x14ac:dyDescent="0.35">
      <c r="D11" s="8" t="s">
        <v>107</v>
      </c>
      <c r="G11" s="7">
        <f>41000+10511-700</f>
        <v>50811</v>
      </c>
      <c r="H11" s="35">
        <f>28000+10252</f>
        <v>38252</v>
      </c>
      <c r="I11" s="3"/>
      <c r="J11" s="8" t="s">
        <v>14</v>
      </c>
      <c r="M11">
        <v>9000</v>
      </c>
      <c r="N11" s="8"/>
    </row>
    <row r="12" spans="1:32" x14ac:dyDescent="0.35">
      <c r="D12" s="8" t="s">
        <v>31</v>
      </c>
      <c r="E12" t="s">
        <v>32</v>
      </c>
      <c r="G12" s="7">
        <v>9000</v>
      </c>
      <c r="H12" s="35">
        <v>6000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783</v>
      </c>
      <c r="D17" t="s">
        <v>44</v>
      </c>
      <c r="E17" t="s">
        <v>110</v>
      </c>
      <c r="F17" t="s">
        <v>14</v>
      </c>
      <c r="G17" s="7">
        <v>80752</v>
      </c>
      <c r="H17" s="29">
        <v>79947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D18" t="s">
        <v>111</v>
      </c>
      <c r="E18" t="s">
        <v>48</v>
      </c>
      <c r="F18" t="s">
        <v>49</v>
      </c>
      <c r="G18" s="7">
        <f>(25495/1.15)+27056</f>
        <v>49225.565217391311</v>
      </c>
      <c r="H18" s="29">
        <f>25700+26750</f>
        <v>52450</v>
      </c>
      <c r="I18" s="3"/>
    </row>
    <row r="19" spans="1:27" x14ac:dyDescent="0.35">
      <c r="A19" s="15">
        <v>597</v>
      </c>
      <c r="B19" s="15">
        <v>555</v>
      </c>
      <c r="C19">
        <v>880</v>
      </c>
      <c r="D19" t="s">
        <v>50</v>
      </c>
      <c r="E19" t="s">
        <v>110</v>
      </c>
      <c r="F19" t="s">
        <v>14</v>
      </c>
      <c r="G19" s="7">
        <v>96421</v>
      </c>
      <c r="H19" s="29">
        <v>94002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585805.56521739135</v>
      </c>
      <c r="H25" s="22">
        <f>SUM(H4:H19)</f>
        <v>567777</v>
      </c>
      <c r="I25" s="7" t="e">
        <f>H25-#REF!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305C-A223-45B7-BB1E-1B73E3107A17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44439</v>
      </c>
      <c r="H3" s="32">
        <v>44407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65656</v>
      </c>
      <c r="H4" s="7">
        <v>63594</v>
      </c>
      <c r="I4" s="3"/>
      <c r="J4" t="s">
        <v>105</v>
      </c>
      <c r="Q4" s="7">
        <f>H25-R4</f>
        <v>426805.56521739135</v>
      </c>
      <c r="R4" s="7">
        <f>SUM(H12:H16)</f>
        <v>159000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65656</v>
      </c>
      <c r="H5" s="7">
        <v>63594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10400</v>
      </c>
      <c r="H6" s="7">
        <v>10319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#REF!+#REF!+H17+H18+H19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1280</v>
      </c>
      <c r="H7" s="7">
        <v>1280</v>
      </c>
      <c r="I7" s="3"/>
      <c r="J7" s="8" t="s">
        <v>93</v>
      </c>
      <c r="M7" s="7">
        <v>20000</v>
      </c>
      <c r="N7" s="8"/>
      <c r="P7" t="s">
        <v>26</v>
      </c>
      <c r="Q7" s="7">
        <f>SUM(H6:H10)</f>
        <v>22408</v>
      </c>
    </row>
    <row r="8" spans="1:32" x14ac:dyDescent="0.35">
      <c r="C8" t="s">
        <v>24</v>
      </c>
      <c r="D8" s="8" t="s">
        <v>27</v>
      </c>
      <c r="G8" s="7">
        <f>9349+731</f>
        <v>10080</v>
      </c>
      <c r="H8" s="7">
        <v>8865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115</v>
      </c>
      <c r="G9" s="7">
        <v>12218</v>
      </c>
      <c r="H9" s="7">
        <v>700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1278</v>
      </c>
      <c r="H10" s="7">
        <v>1244</v>
      </c>
      <c r="I10" s="3"/>
      <c r="J10" s="8" t="s">
        <v>113</v>
      </c>
      <c r="N10" s="8"/>
    </row>
    <row r="11" spans="1:32" x14ac:dyDescent="0.35">
      <c r="D11" s="8" t="s">
        <v>107</v>
      </c>
      <c r="G11" s="7">
        <v>55189</v>
      </c>
      <c r="H11" s="7">
        <f>41000+10511-700</f>
        <v>50811</v>
      </c>
      <c r="I11" s="3"/>
      <c r="J11" s="8" t="s">
        <v>14</v>
      </c>
      <c r="M11">
        <v>9000</v>
      </c>
      <c r="N11" s="8"/>
    </row>
    <row r="12" spans="1:32" x14ac:dyDescent="0.35">
      <c r="D12" s="8" t="s">
        <v>31</v>
      </c>
      <c r="E12" t="s">
        <v>32</v>
      </c>
      <c r="G12" s="7">
        <v>7300</v>
      </c>
      <c r="H12" s="7">
        <v>9000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783</v>
      </c>
      <c r="D17" t="s">
        <v>44</v>
      </c>
      <c r="E17" t="s">
        <v>110</v>
      </c>
      <c r="F17" t="s">
        <v>14</v>
      </c>
      <c r="G17" s="7">
        <v>84370</v>
      </c>
      <c r="H17" s="7">
        <v>80752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111</v>
      </c>
      <c r="E18" t="s">
        <v>48</v>
      </c>
      <c r="F18" t="s">
        <v>49</v>
      </c>
      <c r="G18" s="7">
        <v>28210</v>
      </c>
      <c r="H18" s="7">
        <f>(25495/1.15)+27056</f>
        <v>49225.565217391311</v>
      </c>
      <c r="I18" s="3"/>
    </row>
    <row r="19" spans="1:27" x14ac:dyDescent="0.35">
      <c r="A19" s="15">
        <v>597</v>
      </c>
      <c r="B19" s="15">
        <v>555</v>
      </c>
      <c r="C19">
        <v>949</v>
      </c>
      <c r="D19" t="s">
        <v>50</v>
      </c>
      <c r="E19" t="s">
        <v>110</v>
      </c>
      <c r="F19" t="s">
        <v>14</v>
      </c>
      <c r="G19" s="7">
        <v>102258</v>
      </c>
      <c r="H19" s="7">
        <v>96421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593895</v>
      </c>
      <c r="H25" s="22">
        <f>SUM(H4:H19)</f>
        <v>585805.56521739135</v>
      </c>
      <c r="I25" s="7" t="e">
        <f>H25-#REF!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C729-3EEF-4469-886E-4AA4A50081E7}">
  <dimension ref="A1:AF48"/>
  <sheetViews>
    <sheetView topLeftCell="A4"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44469</v>
      </c>
      <c r="H3" s="32">
        <v>44439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63524</v>
      </c>
      <c r="H4" s="7">
        <v>65656</v>
      </c>
      <c r="I4" s="3"/>
      <c r="J4" t="s">
        <v>105</v>
      </c>
      <c r="Q4" s="7">
        <f>H25-R4</f>
        <v>436595</v>
      </c>
      <c r="R4" s="7">
        <f>SUM(H12:H16)</f>
        <v>157300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63524</v>
      </c>
      <c r="H5" s="7">
        <v>65656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10179</v>
      </c>
      <c r="H6" s="7">
        <v>10400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#REF!+#REF!+H17+H18+H19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1429</v>
      </c>
      <c r="H7" s="7">
        <v>1280</v>
      </c>
      <c r="I7" s="3"/>
      <c r="J7" s="8" t="s">
        <v>93</v>
      </c>
      <c r="M7" s="7">
        <v>20000</v>
      </c>
      <c r="N7" s="8"/>
      <c r="P7" t="s">
        <v>26</v>
      </c>
      <c r="Q7" s="7">
        <f>SUM(H6:H10)</f>
        <v>35256</v>
      </c>
    </row>
    <row r="8" spans="1:32" x14ac:dyDescent="0.35">
      <c r="C8" t="s">
        <v>24</v>
      </c>
      <c r="D8" s="8" t="s">
        <v>27</v>
      </c>
      <c r="G8" s="7">
        <v>9422</v>
      </c>
      <c r="H8" s="7">
        <f>9349+731</f>
        <v>10080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118</v>
      </c>
      <c r="G9" s="7">
        <v>13928</v>
      </c>
      <c r="H9" s="7">
        <v>12218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>
        <v>967</v>
      </c>
      <c r="H10" s="7">
        <v>1278</v>
      </c>
      <c r="I10" s="3"/>
      <c r="J10" s="8" t="s">
        <v>113</v>
      </c>
      <c r="N10" s="8"/>
    </row>
    <row r="11" spans="1:32" x14ac:dyDescent="0.35">
      <c r="D11" s="8" t="s">
        <v>107</v>
      </c>
      <c r="G11" s="7">
        <v>57313</v>
      </c>
      <c r="H11" s="7">
        <v>55189</v>
      </c>
      <c r="I11" s="3"/>
      <c r="J11" s="8" t="s">
        <v>14</v>
      </c>
      <c r="M11">
        <v>9000</v>
      </c>
      <c r="N11" s="8"/>
    </row>
    <row r="12" spans="1:32" x14ac:dyDescent="0.35">
      <c r="D12" s="8" t="s">
        <v>31</v>
      </c>
      <c r="E12" t="s">
        <v>32</v>
      </c>
      <c r="G12" s="7">
        <f>7000+2500</f>
        <v>9500</v>
      </c>
      <c r="H12" s="7">
        <v>7300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29">
        <v>50000</v>
      </c>
      <c r="H13" s="29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29">
        <v>50000</v>
      </c>
      <c r="H15" s="29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29">
        <v>50000</v>
      </c>
      <c r="H16" s="29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783</v>
      </c>
      <c r="D17" t="s">
        <v>44</v>
      </c>
      <c r="E17" t="s">
        <v>110</v>
      </c>
      <c r="F17" t="s">
        <v>14</v>
      </c>
      <c r="G17" s="7">
        <v>55851</v>
      </c>
      <c r="H17" s="7">
        <v>84370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111</v>
      </c>
      <c r="E18" t="s">
        <v>48</v>
      </c>
      <c r="F18" t="s">
        <v>49</v>
      </c>
      <c r="G18" s="7">
        <f>(222*116.88)/1.16+26371</f>
        <v>48739.413793103449</v>
      </c>
      <c r="H18" s="7">
        <v>28210</v>
      </c>
      <c r="I18" s="3"/>
    </row>
    <row r="19" spans="1:27" x14ac:dyDescent="0.35">
      <c r="A19" s="15">
        <v>597</v>
      </c>
      <c r="B19" s="15">
        <v>555</v>
      </c>
      <c r="C19">
        <v>949</v>
      </c>
      <c r="D19" t="s">
        <v>50</v>
      </c>
      <c r="E19" t="s">
        <v>110</v>
      </c>
      <c r="F19" t="s">
        <v>14</v>
      </c>
      <c r="G19" s="7">
        <v>96669</v>
      </c>
      <c r="H19" s="7">
        <v>102258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581045.41379310342</v>
      </c>
      <c r="H25" s="22">
        <f>SUM(H4:H19)</f>
        <v>593895</v>
      </c>
      <c r="I25" s="7" t="e">
        <f>H25-#REF!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06BE-3A29-4013-994C-0C86ABB6E9B0}">
  <dimension ref="A1:AF48"/>
  <sheetViews>
    <sheetView topLeftCell="B4" workbookViewId="0">
      <selection activeCell="B4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44498</v>
      </c>
      <c r="H3" s="32">
        <v>44439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64563</v>
      </c>
      <c r="H4" s="7">
        <v>63524</v>
      </c>
      <c r="I4" s="3"/>
      <c r="J4" t="s">
        <v>105</v>
      </c>
      <c r="Q4" s="7">
        <f>H25-R4</f>
        <v>421545.41379310342</v>
      </c>
      <c r="R4" s="7">
        <f>SUM(H12:H16)</f>
        <v>159500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64563</v>
      </c>
      <c r="H5" s="7">
        <v>63524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6">
        <v>10230</v>
      </c>
      <c r="H6" s="7">
        <v>10179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#REF!+#REF!+H17+H18+H19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6">
        <v>1327</v>
      </c>
      <c r="H7" s="7">
        <v>1429</v>
      </c>
      <c r="I7" s="3"/>
      <c r="J7" s="8" t="s">
        <v>93</v>
      </c>
      <c r="M7" s="7">
        <v>20000</v>
      </c>
      <c r="N7" s="8"/>
      <c r="P7" t="s">
        <v>26</v>
      </c>
      <c r="Q7" s="7">
        <f>SUM(H6:H10)</f>
        <v>35925</v>
      </c>
    </row>
    <row r="8" spans="1:32" x14ac:dyDescent="0.35">
      <c r="C8" t="s">
        <v>24</v>
      </c>
      <c r="D8" s="8" t="s">
        <v>27</v>
      </c>
      <c r="G8" s="6">
        <v>10152</v>
      </c>
      <c r="H8" s="7">
        <v>9422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118</v>
      </c>
      <c r="G9" s="6">
        <v>16857</v>
      </c>
      <c r="H9" s="7">
        <v>13928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7"/>
      <c r="H10" s="7">
        <v>967</v>
      </c>
      <c r="I10" s="3"/>
      <c r="J10" s="8" t="s">
        <v>113</v>
      </c>
      <c r="N10" s="8"/>
    </row>
    <row r="11" spans="1:32" x14ac:dyDescent="0.35">
      <c r="D11" s="8" t="s">
        <v>107</v>
      </c>
      <c r="G11" s="6">
        <f>86049-20729</f>
        <v>65320</v>
      </c>
      <c r="H11" s="7">
        <v>57313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s="8" t="s">
        <v>31</v>
      </c>
      <c r="E12" t="s">
        <v>32</v>
      </c>
      <c r="G12" s="6">
        <v>12000</v>
      </c>
      <c r="H12" s="7">
        <f>7000+2500</f>
        <v>9500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13">
        <v>50000</v>
      </c>
      <c r="H13" s="29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13">
        <v>50000</v>
      </c>
      <c r="H15" s="29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13">
        <v>50000</v>
      </c>
      <c r="H16" s="29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783</v>
      </c>
      <c r="D17" t="s">
        <v>44</v>
      </c>
      <c r="E17" t="s">
        <v>110</v>
      </c>
      <c r="F17" t="s">
        <v>14</v>
      </c>
      <c r="G17" s="6">
        <v>58914</v>
      </c>
      <c r="H17" s="7">
        <v>55851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111</v>
      </c>
      <c r="E18" t="s">
        <v>48</v>
      </c>
      <c r="F18" t="s">
        <v>49</v>
      </c>
      <c r="G18" s="6">
        <f>(24046/1.16) + 27497</f>
        <v>48226.310344827587</v>
      </c>
      <c r="H18" s="7">
        <f>(222*116.88)/1.16+26371</f>
        <v>48739.413793103449</v>
      </c>
      <c r="I18" s="3"/>
    </row>
    <row r="19" spans="1:27" x14ac:dyDescent="0.35">
      <c r="A19" s="15">
        <v>597</v>
      </c>
      <c r="B19" s="15">
        <v>555</v>
      </c>
      <c r="C19">
        <v>949</v>
      </c>
      <c r="D19" t="s">
        <v>50</v>
      </c>
      <c r="E19" t="s">
        <v>110</v>
      </c>
      <c r="F19" t="s">
        <v>14</v>
      </c>
      <c r="G19" s="6">
        <v>103571</v>
      </c>
      <c r="H19" s="7">
        <v>96669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605723.31034482759</v>
      </c>
      <c r="H25" s="22">
        <f>SUM(H4:H19)</f>
        <v>581045.41379310342</v>
      </c>
      <c r="I25" s="7" t="e">
        <f>H25-#REF!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D69F-7628-4CC1-B462-13AD1DCA6A57}">
  <dimension ref="A1:AF48"/>
  <sheetViews>
    <sheetView topLeftCell="A6" workbookViewId="0">
      <selection activeCell="A6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44530</v>
      </c>
      <c r="H3" s="32">
        <v>44439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18">
        <v>64963</v>
      </c>
      <c r="H4" s="7">
        <v>64563</v>
      </c>
      <c r="I4" s="3"/>
      <c r="J4" t="s">
        <v>105</v>
      </c>
      <c r="Q4" s="7">
        <f>H25-R4</f>
        <v>443723.31034482759</v>
      </c>
      <c r="R4" s="7">
        <f>SUM(H12:H16)</f>
        <v>162000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18">
        <v>64963</v>
      </c>
      <c r="H5" s="7">
        <v>64563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18">
        <v>10504</v>
      </c>
      <c r="H6" s="6">
        <v>10230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#REF!+#REF!+H17+H18+H19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18">
        <v>1304</v>
      </c>
      <c r="H7" s="6">
        <v>1327</v>
      </c>
      <c r="I7" s="3"/>
      <c r="J7" s="8" t="s">
        <v>93</v>
      </c>
      <c r="M7" s="7">
        <v>20000</v>
      </c>
      <c r="N7" s="8"/>
      <c r="P7" t="s">
        <v>26</v>
      </c>
      <c r="Q7" s="7">
        <f>SUM(H6:H10)</f>
        <v>38566</v>
      </c>
    </row>
    <row r="8" spans="1:32" x14ac:dyDescent="0.35">
      <c r="C8" t="s">
        <v>24</v>
      </c>
      <c r="D8" s="8" t="s">
        <v>27</v>
      </c>
      <c r="G8" s="18">
        <v>9517</v>
      </c>
      <c r="H8" s="6">
        <v>10152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118</v>
      </c>
      <c r="G9" s="18">
        <v>14995</v>
      </c>
      <c r="H9" s="6">
        <v>16857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31"/>
      <c r="H10" s="31"/>
      <c r="I10" s="3"/>
      <c r="J10" s="8" t="s">
        <v>113</v>
      </c>
      <c r="N10" s="8"/>
    </row>
    <row r="11" spans="1:32" x14ac:dyDescent="0.35">
      <c r="D11" s="8" t="s">
        <v>107</v>
      </c>
      <c r="G11" s="18">
        <f>69364-22755</f>
        <v>46609</v>
      </c>
      <c r="H11" s="6">
        <f>86049-20729</f>
        <v>65320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s="8" t="s">
        <v>31</v>
      </c>
      <c r="E12" t="s">
        <v>32</v>
      </c>
      <c r="G12" s="18">
        <v>4000</v>
      </c>
      <c r="H12" s="6">
        <v>12000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13">
        <v>50000</v>
      </c>
      <c r="H13" s="13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1"/>
      <c r="H14" s="31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13">
        <v>50000</v>
      </c>
      <c r="H15" s="13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13">
        <v>50000</v>
      </c>
      <c r="H16" s="13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556</v>
      </c>
      <c r="D17" t="s">
        <v>44</v>
      </c>
      <c r="E17" t="s">
        <v>110</v>
      </c>
      <c r="F17" t="s">
        <v>14</v>
      </c>
      <c r="G17" s="18">
        <v>53747</v>
      </c>
      <c r="H17" s="6">
        <v>58914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111</v>
      </c>
      <c r="E18" t="s">
        <v>48</v>
      </c>
      <c r="F18" t="s">
        <v>49</v>
      </c>
      <c r="G18" s="18">
        <f>22775+26000</f>
        <v>48775</v>
      </c>
      <c r="H18" s="6">
        <f>(24046/1.16) + 27497</f>
        <v>48226.310344827587</v>
      </c>
      <c r="I18" s="3"/>
    </row>
    <row r="19" spans="1:27" x14ac:dyDescent="0.35">
      <c r="A19" s="15">
        <v>597</v>
      </c>
      <c r="B19" s="15">
        <v>555</v>
      </c>
      <c r="C19">
        <v>992</v>
      </c>
      <c r="D19" t="s">
        <v>50</v>
      </c>
      <c r="E19" t="s">
        <v>110</v>
      </c>
      <c r="F19" t="s">
        <v>14</v>
      </c>
      <c r="G19" s="18">
        <v>95686</v>
      </c>
      <c r="H19" s="6">
        <v>103571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565063</v>
      </c>
      <c r="H25" s="22">
        <f>SUM(H4:H19)</f>
        <v>605723.31034482759</v>
      </c>
      <c r="I25" s="7" t="e">
        <f>H25-#REF!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07CD-642A-4228-85F1-BDE35D881B7E}">
  <dimension ref="A1:AF48"/>
  <sheetViews>
    <sheetView topLeftCell="A7" workbookViewId="0">
      <selection activeCell="A7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44561</v>
      </c>
      <c r="H3" s="32">
        <v>44530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65569</v>
      </c>
      <c r="H4" s="18">
        <v>64963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65569</v>
      </c>
      <c r="H5" s="18">
        <v>64963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10821</v>
      </c>
      <c r="H6" s="18">
        <v>10504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1200</v>
      </c>
      <c r="H7" s="18">
        <v>1304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9587</v>
      </c>
      <c r="H8" s="18">
        <v>9517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118</v>
      </c>
      <c r="G9" s="7">
        <v>16189</v>
      </c>
      <c r="H9" s="18">
        <v>14995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99</v>
      </c>
      <c r="G10" s="31"/>
      <c r="H10" s="31"/>
      <c r="I10" s="3"/>
      <c r="J10" s="8" t="s">
        <v>113</v>
      </c>
      <c r="N10" s="8"/>
    </row>
    <row r="11" spans="1:32" x14ac:dyDescent="0.35">
      <c r="D11" s="8" t="s">
        <v>107</v>
      </c>
      <c r="G11" s="7">
        <f>68366-23622</f>
        <v>44744</v>
      </c>
      <c r="H11" s="18">
        <f>69364-22755</f>
        <v>46609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s="8" t="s">
        <v>31</v>
      </c>
      <c r="E12" t="s">
        <v>32</v>
      </c>
      <c r="G12" s="7">
        <v>5500</v>
      </c>
      <c r="H12" s="18">
        <v>4000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11</v>
      </c>
      <c r="G13" s="37">
        <v>50000</v>
      </c>
      <c r="H13" s="37">
        <v>50000</v>
      </c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39</v>
      </c>
      <c r="G14" s="38"/>
      <c r="H14" s="38"/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40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35</v>
      </c>
      <c r="E16" t="s">
        <v>36</v>
      </c>
      <c r="F16" t="s">
        <v>14</v>
      </c>
      <c r="G16" s="37">
        <v>50000</v>
      </c>
      <c r="H16" s="37">
        <v>50000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556</v>
      </c>
      <c r="D17" t="s">
        <v>44</v>
      </c>
      <c r="E17" t="s">
        <v>110</v>
      </c>
      <c r="F17" t="s">
        <v>14</v>
      </c>
      <c r="G17" s="7">
        <v>58428</v>
      </c>
      <c r="H17" s="18">
        <v>53747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111</v>
      </c>
      <c r="E18" t="s">
        <v>48</v>
      </c>
      <c r="F18" t="s">
        <v>49</v>
      </c>
      <c r="G18" s="7">
        <f>23622+27004</f>
        <v>50626</v>
      </c>
      <c r="H18" s="18">
        <f>22775+26000</f>
        <v>48775</v>
      </c>
      <c r="I18" s="3"/>
    </row>
    <row r="19" spans="1:27" x14ac:dyDescent="0.35">
      <c r="A19" s="15">
        <v>597</v>
      </c>
      <c r="B19" s="15">
        <v>555</v>
      </c>
      <c r="C19">
        <v>992</v>
      </c>
      <c r="D19" t="s">
        <v>50</v>
      </c>
      <c r="E19" t="s">
        <v>110</v>
      </c>
      <c r="F19" t="s">
        <v>14</v>
      </c>
      <c r="G19" s="7">
        <v>105770</v>
      </c>
      <c r="H19" s="18">
        <v>95686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SUM(G4:G19)</f>
        <v>584003</v>
      </c>
      <c r="H25" s="22">
        <f>SUM(H4:H19)</f>
        <v>565063</v>
      </c>
      <c r="I25" s="7" t="e">
        <f>#REF!-#REF!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11E-D5B5-4FE8-BA1D-F9D9B41E3278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44592</v>
      </c>
      <c r="H3" s="32">
        <v>44561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59236</v>
      </c>
      <c r="H4" s="7">
        <v>65569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59236</v>
      </c>
      <c r="H5" s="7">
        <v>65569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9791</v>
      </c>
      <c r="H6" s="7">
        <v>10821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970</v>
      </c>
      <c r="H7" s="7">
        <v>1200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7124</v>
      </c>
      <c r="H8" s="7">
        <v>9587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120</v>
      </c>
      <c r="G9">
        <v>23501</v>
      </c>
      <c r="H9" s="31"/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119</v>
      </c>
      <c r="G10">
        <f>44874+8497</f>
        <v>53371</v>
      </c>
      <c r="H10" s="7">
        <f>68366-23622</f>
        <v>44744</v>
      </c>
      <c r="I10" s="3"/>
      <c r="J10" s="8" t="s">
        <v>113</v>
      </c>
      <c r="N10" s="8"/>
    </row>
    <row r="11" spans="1:32" x14ac:dyDescent="0.35">
      <c r="D11" s="8" t="s">
        <v>31</v>
      </c>
      <c r="E11" t="s">
        <v>32</v>
      </c>
      <c r="G11">
        <v>5500</v>
      </c>
      <c r="H11" s="7">
        <v>5500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39</v>
      </c>
      <c r="G13" s="38"/>
      <c r="H13" s="38"/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</f>
        <v>39500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44</v>
      </c>
      <c r="E16" t="s">
        <v>110</v>
      </c>
      <c r="F16" t="s">
        <v>14</v>
      </c>
      <c r="G16" s="29">
        <v>51310</v>
      </c>
      <c r="H16" s="7">
        <v>58428</v>
      </c>
      <c r="I16" s="3"/>
      <c r="J16" s="8" t="s">
        <v>37</v>
      </c>
      <c r="K16" s="8" t="s">
        <v>43</v>
      </c>
      <c r="M16" s="7">
        <f>38000+1500</f>
        <v>39500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556</v>
      </c>
      <c r="D17" t="s">
        <v>111</v>
      </c>
      <c r="E17" t="s">
        <v>48</v>
      </c>
      <c r="F17" t="s">
        <v>49</v>
      </c>
      <c r="H17" s="7">
        <f>23622+27004</f>
        <v>50626</v>
      </c>
      <c r="I17" s="3"/>
      <c r="J17" s="8" t="s">
        <v>46</v>
      </c>
      <c r="M17" s="17">
        <f>SUM(M15:M16)</f>
        <v>79000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50</v>
      </c>
      <c r="E18" t="s">
        <v>110</v>
      </c>
      <c r="F18" t="s">
        <v>14</v>
      </c>
      <c r="G18">
        <v>94206</v>
      </c>
      <c r="H18" s="7">
        <v>105770</v>
      </c>
      <c r="I18" s="3"/>
    </row>
    <row r="19" spans="1:27" x14ac:dyDescent="0.35">
      <c r="A19" s="15">
        <v>597</v>
      </c>
      <c r="B19" s="15">
        <v>555</v>
      </c>
      <c r="C19">
        <v>992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514245</v>
      </c>
      <c r="H25" s="22">
        <f>SUM(H4:H18)</f>
        <v>567814</v>
      </c>
      <c r="I25" s="7" t="e">
        <f>#REF!-#REF!</f>
        <v>#REF!</v>
      </c>
      <c r="M25" s="7">
        <f>M9+M17+M13</f>
        <v>147500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147500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522900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B45B-49C2-42E9-B7E1-7C1CDE565E8D}">
  <dimension ref="A1:AF48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44592</v>
      </c>
      <c r="H3" s="32">
        <v>44592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58492</v>
      </c>
      <c r="H4">
        <v>59236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58492</v>
      </c>
      <c r="H5">
        <v>59236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9271</v>
      </c>
      <c r="H6">
        <v>9791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1011</v>
      </c>
      <c r="H7">
        <v>970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7331</v>
      </c>
      <c r="H8">
        <v>7124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120</v>
      </c>
      <c r="G9">
        <v>21799</v>
      </c>
      <c r="H9">
        <v>23501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119</v>
      </c>
      <c r="G10">
        <f>38941+7936</f>
        <v>46877</v>
      </c>
      <c r="H10">
        <f>44874+8497</f>
        <v>53371</v>
      </c>
      <c r="I10" s="3"/>
      <c r="J10" s="8" t="s">
        <v>113</v>
      </c>
      <c r="N10" s="8"/>
    </row>
    <row r="11" spans="1:32" x14ac:dyDescent="0.35">
      <c r="D11" s="8" t="s">
        <v>31</v>
      </c>
      <c r="E11" t="s">
        <v>32</v>
      </c>
      <c r="G11">
        <v>5500</v>
      </c>
      <c r="H11">
        <v>5500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39</v>
      </c>
      <c r="G13" s="38"/>
      <c r="H13" s="38"/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38000+1500+2500</f>
        <v>42000</v>
      </c>
      <c r="Q15">
        <v>81287</v>
      </c>
    </row>
    <row r="16" spans="1:32" x14ac:dyDescent="0.35">
      <c r="A16" s="8" t="s">
        <v>41</v>
      </c>
      <c r="B16" s="14" t="s">
        <v>42</v>
      </c>
      <c r="C16" s="33">
        <v>44227</v>
      </c>
      <c r="D16" t="s">
        <v>44</v>
      </c>
      <c r="E16" t="s">
        <v>110</v>
      </c>
      <c r="F16" t="s">
        <v>14</v>
      </c>
      <c r="G16" s="29">
        <v>46664</v>
      </c>
      <c r="H16" s="29">
        <v>51310</v>
      </c>
      <c r="I16" s="3"/>
      <c r="J16" s="8" t="s">
        <v>37</v>
      </c>
      <c r="K16" s="8" t="s">
        <v>43</v>
      </c>
      <c r="M16" s="7">
        <f>38000+1500+2500</f>
        <v>42000</v>
      </c>
      <c r="Q16" t="e">
        <f>#REF!*2</f>
        <v>#REF!</v>
      </c>
    </row>
    <row r="17" spans="1:27" ht="15" thickBot="1" x14ac:dyDescent="0.4">
      <c r="A17" s="15">
        <v>766</v>
      </c>
      <c r="B17" s="15">
        <v>766</v>
      </c>
      <c r="C17" s="14">
        <v>556</v>
      </c>
      <c r="D17" t="s">
        <v>111</v>
      </c>
      <c r="E17" t="s">
        <v>48</v>
      </c>
      <c r="F17" t="s">
        <v>49</v>
      </c>
      <c r="I17" s="3"/>
      <c r="J17" s="8" t="s">
        <v>46</v>
      </c>
      <c r="M17" s="17">
        <f>SUM(M15:M16)</f>
        <v>84000</v>
      </c>
      <c r="N17">
        <v>73707</v>
      </c>
      <c r="Q17" t="e">
        <f>Q15-Q16</f>
        <v>#REF!</v>
      </c>
      <c r="X17">
        <f>SUM(A17:A19)</f>
        <v>1867</v>
      </c>
      <c r="Y17">
        <f>X17*V4</f>
        <v>191927.6</v>
      </c>
    </row>
    <row r="18" spans="1:27" ht="15" thickTop="1" x14ac:dyDescent="0.35">
      <c r="A18" s="15">
        <v>504</v>
      </c>
      <c r="B18" s="15">
        <v>504</v>
      </c>
      <c r="C18" t="s">
        <v>117</v>
      </c>
      <c r="D18" t="s">
        <v>50</v>
      </c>
      <c r="E18" t="s">
        <v>110</v>
      </c>
      <c r="F18" t="s">
        <v>14</v>
      </c>
      <c r="G18">
        <v>87426</v>
      </c>
      <c r="H18">
        <v>94206</v>
      </c>
      <c r="I18" s="3"/>
    </row>
    <row r="19" spans="1:27" x14ac:dyDescent="0.35">
      <c r="A19" s="15">
        <v>597</v>
      </c>
      <c r="B19" s="15">
        <v>555</v>
      </c>
      <c r="C19">
        <v>992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492863</v>
      </c>
      <c r="H25" s="22">
        <f>SUM(H4:H18)</f>
        <v>514245</v>
      </c>
      <c r="I25" s="7" t="e">
        <f>#REF!-#REF!</f>
        <v>#REF!</v>
      </c>
      <c r="M25" s="7">
        <f>M9+M17+M13</f>
        <v>152500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527900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B046-3E27-4FBF-96CA-24563F196EA1}">
  <dimension ref="A1:AF48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44653</v>
      </c>
      <c r="H3" s="32">
        <v>44620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35870+23878</f>
        <v>59748</v>
      </c>
      <c r="H4">
        <v>58492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59749</v>
      </c>
      <c r="H5">
        <v>58492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9670</v>
      </c>
      <c r="H6">
        <v>9271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996</v>
      </c>
      <c r="H7">
        <v>1011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7894</v>
      </c>
      <c r="H8">
        <v>7331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120</v>
      </c>
      <c r="G9">
        <v>20693</v>
      </c>
      <c r="H9">
        <v>21799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119</v>
      </c>
      <c r="G10">
        <f>30794+6737</f>
        <v>37531</v>
      </c>
      <c r="H10">
        <f>38941+7936</f>
        <v>46877</v>
      </c>
      <c r="I10" s="3"/>
      <c r="J10" s="8" t="s">
        <v>113</v>
      </c>
      <c r="N10" s="8"/>
    </row>
    <row r="11" spans="1:32" x14ac:dyDescent="0.35">
      <c r="D11" s="8" t="s">
        <v>31</v>
      </c>
      <c r="E11" t="s">
        <v>32</v>
      </c>
      <c r="G11">
        <v>21000</v>
      </c>
      <c r="H11">
        <v>5500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39</v>
      </c>
      <c r="G13" s="38"/>
      <c r="H13" s="38"/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38000+1500+2500</f>
        <v>42000</v>
      </c>
      <c r="Q15">
        <v>81287</v>
      </c>
    </row>
    <row r="16" spans="1:32" x14ac:dyDescent="0.35">
      <c r="A16" s="8"/>
      <c r="B16" s="14"/>
      <c r="C16">
        <v>556</v>
      </c>
      <c r="D16" t="s">
        <v>44</v>
      </c>
      <c r="E16" t="s">
        <v>110</v>
      </c>
      <c r="F16" t="s">
        <v>14</v>
      </c>
      <c r="G16" s="40">
        <v>46765</v>
      </c>
      <c r="H16" s="29">
        <v>46664</v>
      </c>
      <c r="I16" s="3"/>
      <c r="J16" s="8" t="s">
        <v>37</v>
      </c>
      <c r="K16" s="8" t="s">
        <v>43</v>
      </c>
      <c r="M16" s="7">
        <f>38000+1500+2500</f>
        <v>42000</v>
      </c>
      <c r="Q16" t="e">
        <f>#REF!*2</f>
        <v>#REF!</v>
      </c>
    </row>
    <row r="17" spans="1:27" ht="15" thickBot="1" x14ac:dyDescent="0.4">
      <c r="A17" s="15"/>
      <c r="B17" s="15"/>
      <c r="C17" s="14"/>
      <c r="D17" t="s">
        <v>111</v>
      </c>
      <c r="E17" t="s">
        <v>48</v>
      </c>
      <c r="F17" t="s">
        <v>49</v>
      </c>
      <c r="G17" s="39"/>
      <c r="H17" s="39"/>
      <c r="I17" s="3"/>
      <c r="J17" s="8" t="s">
        <v>46</v>
      </c>
      <c r="M17" s="17">
        <f>SUM(M15:M16)</f>
        <v>84000</v>
      </c>
      <c r="N17">
        <v>73707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ht="15" thickTop="1" x14ac:dyDescent="0.35">
      <c r="A18" s="15"/>
      <c r="B18" s="15"/>
      <c r="C18">
        <v>1066</v>
      </c>
      <c r="D18" t="s">
        <v>50</v>
      </c>
      <c r="E18" t="s">
        <v>110</v>
      </c>
      <c r="F18" t="s">
        <v>14</v>
      </c>
      <c r="G18">
        <v>89616</v>
      </c>
      <c r="H18">
        <v>87426</v>
      </c>
      <c r="I18" s="3"/>
    </row>
    <row r="19" spans="1:27" x14ac:dyDescent="0.35">
      <c r="A19" s="15">
        <v>597</v>
      </c>
      <c r="B19" s="15">
        <v>555</v>
      </c>
      <c r="C19">
        <v>992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503662</v>
      </c>
      <c r="H25" s="22">
        <f>SUM(H4:H18)</f>
        <v>492863</v>
      </c>
      <c r="I25" s="7" t="e">
        <f>#REF!-#REF!</f>
        <v>#REF!</v>
      </c>
      <c r="M25" s="7">
        <f>M9+M17+M13</f>
        <v>152500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527900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DF2C-C430-4577-A503-449FC40254A2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44681</v>
      </c>
      <c r="H3" s="32">
        <v>44653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34643+23072</f>
        <v>57715</v>
      </c>
      <c r="H4">
        <f>35870+23878</f>
        <v>59748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f>34643+23072</f>
        <v>57715</v>
      </c>
      <c r="H5">
        <v>59749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9622</v>
      </c>
      <c r="H6">
        <v>9670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927</v>
      </c>
      <c r="H7">
        <v>996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7708</v>
      </c>
      <c r="H8">
        <v>7894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120</v>
      </c>
      <c r="G9">
        <v>19549</v>
      </c>
      <c r="H9">
        <v>20693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119</v>
      </c>
      <c r="G10">
        <f>28244+6192</f>
        <v>34436</v>
      </c>
      <c r="H10">
        <f>30794+6737</f>
        <v>37531</v>
      </c>
      <c r="I10" s="3"/>
      <c r="J10" s="8" t="s">
        <v>113</v>
      </c>
      <c r="N10" s="8"/>
    </row>
    <row r="11" spans="1:32" x14ac:dyDescent="0.35">
      <c r="D11" s="8" t="s">
        <v>31</v>
      </c>
      <c r="E11" t="s">
        <v>32</v>
      </c>
      <c r="G11">
        <v>21000</v>
      </c>
      <c r="H11">
        <v>21000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39</v>
      </c>
      <c r="G13" s="38"/>
      <c r="H13" s="38"/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38000+1500+2500</f>
        <v>42000</v>
      </c>
      <c r="Q15">
        <v>81287</v>
      </c>
    </row>
    <row r="16" spans="1:32" x14ac:dyDescent="0.35">
      <c r="A16" s="8"/>
      <c r="B16" s="14"/>
      <c r="C16">
        <v>556</v>
      </c>
      <c r="D16" t="s">
        <v>44</v>
      </c>
      <c r="E16" t="s">
        <v>110</v>
      </c>
      <c r="F16" t="s">
        <v>14</v>
      </c>
      <c r="G16" s="40">
        <v>45549</v>
      </c>
      <c r="H16" s="40">
        <v>46765</v>
      </c>
      <c r="I16" s="3"/>
      <c r="J16" s="8" t="s">
        <v>37</v>
      </c>
      <c r="K16" s="8" t="s">
        <v>43</v>
      </c>
      <c r="M16" s="7">
        <f>38000+1500+2500</f>
        <v>42000</v>
      </c>
      <c r="Q16" t="e">
        <f>#REF!*2</f>
        <v>#REF!</v>
      </c>
    </row>
    <row r="17" spans="1:27" ht="15" thickBot="1" x14ac:dyDescent="0.4">
      <c r="A17" s="15"/>
      <c r="B17" s="15"/>
      <c r="C17" s="14"/>
      <c r="D17" t="s">
        <v>111</v>
      </c>
      <c r="E17" t="s">
        <v>48</v>
      </c>
      <c r="F17" t="s">
        <v>49</v>
      </c>
      <c r="G17" s="39"/>
      <c r="H17" s="39"/>
      <c r="I17" s="3"/>
      <c r="J17" s="8" t="s">
        <v>46</v>
      </c>
      <c r="M17" s="17">
        <f>SUM(M15:M16)</f>
        <v>84000</v>
      </c>
      <c r="N17">
        <v>73707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ht="15" thickTop="1" x14ac:dyDescent="0.35">
      <c r="A18" s="15"/>
      <c r="B18" s="15"/>
      <c r="C18">
        <v>1089</v>
      </c>
      <c r="D18" t="s">
        <v>50</v>
      </c>
      <c r="E18" t="s">
        <v>110</v>
      </c>
      <c r="F18" t="s">
        <v>14</v>
      </c>
      <c r="G18">
        <v>89104</v>
      </c>
      <c r="H18">
        <v>89616</v>
      </c>
      <c r="I18" s="3"/>
    </row>
    <row r="19" spans="1:27" x14ac:dyDescent="0.35">
      <c r="A19" s="15">
        <v>597</v>
      </c>
      <c r="B19" s="15">
        <v>555</v>
      </c>
      <c r="C19">
        <v>992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493325</v>
      </c>
      <c r="H25" s="22">
        <f>SUM(H4:H18)</f>
        <v>503662</v>
      </c>
      <c r="I25" s="7" t="e">
        <f>#REF!-#REF!</f>
        <v>#REF!</v>
      </c>
      <c r="M25" s="7">
        <f>M9+M17+M13</f>
        <v>152500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527900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BC7C-FA52-4D2D-BA6E-1DAEC9FC0DEC}">
  <dimension ref="A1:AF48"/>
  <sheetViews>
    <sheetView workbookViewId="0">
      <selection activeCell="M16" sqref="M1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44712</v>
      </c>
      <c r="H3" s="32">
        <v>44681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56526</v>
      </c>
      <c r="H4">
        <f>34643+23072</f>
        <v>57715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v>56526</v>
      </c>
      <c r="H5">
        <f>34643+23072</f>
        <v>57715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9172</v>
      </c>
      <c r="H6">
        <v>9622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859</v>
      </c>
      <c r="H7">
        <v>927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7698</v>
      </c>
      <c r="H8">
        <v>7708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120</v>
      </c>
      <c r="G9">
        <v>15770</v>
      </c>
      <c r="H9">
        <v>19549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119</v>
      </c>
      <c r="G10">
        <f>15104+3143</f>
        <v>18247</v>
      </c>
      <c r="H10">
        <f>28244+6192</f>
        <v>34436</v>
      </c>
      <c r="I10" s="3"/>
      <c r="J10" s="8" t="s">
        <v>113</v>
      </c>
      <c r="N10" s="8"/>
    </row>
    <row r="11" spans="1:32" x14ac:dyDescent="0.35">
      <c r="D11" s="8" t="s">
        <v>31</v>
      </c>
      <c r="E11" t="s">
        <v>32</v>
      </c>
      <c r="G11">
        <v>18000</v>
      </c>
      <c r="H11">
        <v>21000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39</v>
      </c>
      <c r="G13" s="38"/>
      <c r="H13" s="38"/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38000+1500+2500</f>
        <v>42000</v>
      </c>
      <c r="Q15">
        <v>81287</v>
      </c>
    </row>
    <row r="16" spans="1:32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44832</v>
      </c>
      <c r="H16" s="40">
        <v>45549</v>
      </c>
      <c r="I16" s="3"/>
      <c r="J16" s="8" t="s">
        <v>37</v>
      </c>
      <c r="K16" s="8" t="s">
        <v>43</v>
      </c>
      <c r="M16" s="7">
        <f>38000+1500+2500</f>
        <v>42000</v>
      </c>
      <c r="Q16" t="e">
        <f>#REF!*2</f>
        <v>#REF!</v>
      </c>
    </row>
    <row r="17" spans="1:27" ht="15" thickBot="1" x14ac:dyDescent="0.4">
      <c r="A17" s="15"/>
      <c r="B17" s="15"/>
      <c r="C17" s="14"/>
      <c r="D17" t="s">
        <v>111</v>
      </c>
      <c r="E17" t="s">
        <v>48</v>
      </c>
      <c r="F17" t="s">
        <v>49</v>
      </c>
      <c r="G17" s="39"/>
      <c r="H17" s="39"/>
      <c r="I17" s="3"/>
      <c r="J17" s="8" t="s">
        <v>46</v>
      </c>
      <c r="M17" s="17">
        <f>SUM(M15:M16)</f>
        <v>84000</v>
      </c>
      <c r="N17">
        <v>73707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ht="15" thickTop="1" x14ac:dyDescent="0.35">
      <c r="A18" s="15"/>
      <c r="B18" s="15"/>
      <c r="C18">
        <v>1130</v>
      </c>
      <c r="D18" t="s">
        <v>50</v>
      </c>
      <c r="E18" t="s">
        <v>110</v>
      </c>
      <c r="F18" t="s">
        <v>14</v>
      </c>
      <c r="G18">
        <v>89270</v>
      </c>
      <c r="H18">
        <v>89104</v>
      </c>
      <c r="I18" s="3"/>
    </row>
    <row r="19" spans="1:27" x14ac:dyDescent="0.35">
      <c r="A19" s="15">
        <v>597</v>
      </c>
      <c r="B19" s="15">
        <v>555</v>
      </c>
      <c r="C19">
        <v>992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466900</v>
      </c>
      <c r="H25" s="22">
        <f>SUM(H4:H18)</f>
        <v>493325</v>
      </c>
      <c r="I25" s="7">
        <f>G25-H25</f>
        <v>-26425</v>
      </c>
      <c r="M25" s="7">
        <f>M9+M17+M13</f>
        <v>152500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G34">
        <v>1600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15400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527900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91F4-F67C-47ED-A723-1714CEC8BF0C}">
  <dimension ref="A1:AF48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44742</v>
      </c>
      <c r="H3" s="32">
        <v>44712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v>53757</v>
      </c>
      <c r="H4">
        <v>56526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24">
        <v>53757</v>
      </c>
      <c r="H5">
        <v>56526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24">
        <v>8897</v>
      </c>
      <c r="H6">
        <v>9172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24">
        <v>824</v>
      </c>
      <c r="H7">
        <v>859</v>
      </c>
      <c r="I7" s="3"/>
      <c r="J7" s="8" t="s">
        <v>93</v>
      </c>
      <c r="M7" s="7">
        <v>20000</v>
      </c>
      <c r="N7" s="8"/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24">
        <v>6575</v>
      </c>
      <c r="H8">
        <v>7698</v>
      </c>
      <c r="I8" s="3"/>
      <c r="J8" t="s">
        <v>33</v>
      </c>
      <c r="M8" s="11">
        <v>1500</v>
      </c>
      <c r="N8" s="8"/>
    </row>
    <row r="9" spans="1:32" ht="15" thickBot="1" x14ac:dyDescent="0.4">
      <c r="C9" t="s">
        <v>24</v>
      </c>
      <c r="D9" s="8" t="s">
        <v>120</v>
      </c>
      <c r="G9" s="24">
        <v>13758</v>
      </c>
      <c r="H9">
        <v>15770</v>
      </c>
      <c r="I9" s="3"/>
      <c r="M9" s="17">
        <f>SUM(M5:M8)</f>
        <v>48500</v>
      </c>
      <c r="N9" s="8"/>
    </row>
    <row r="10" spans="1:32" ht="15" thickTop="1" x14ac:dyDescent="0.35">
      <c r="C10" t="s">
        <v>24</v>
      </c>
      <c r="D10" s="8" t="s">
        <v>119</v>
      </c>
      <c r="G10">
        <f>1899+9732</f>
        <v>11631</v>
      </c>
      <c r="H10">
        <f>15104+3143</f>
        <v>18247</v>
      </c>
      <c r="I10" s="3"/>
      <c r="J10" s="8" t="s">
        <v>113</v>
      </c>
      <c r="N10" s="8"/>
    </row>
    <row r="11" spans="1:32" x14ac:dyDescent="0.35">
      <c r="D11" s="8" t="s">
        <v>31</v>
      </c>
      <c r="E11" t="s">
        <v>32</v>
      </c>
      <c r="G11">
        <v>18000</v>
      </c>
      <c r="H11">
        <v>18000</v>
      </c>
      <c r="I11" s="3"/>
      <c r="J11" s="8" t="s">
        <v>14</v>
      </c>
      <c r="M11">
        <v>9000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114</v>
      </c>
      <c r="M12">
        <v>11000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ht="15" thickBot="1" x14ac:dyDescent="0.4">
      <c r="D13" t="s">
        <v>35</v>
      </c>
      <c r="E13" t="s">
        <v>36</v>
      </c>
      <c r="F13" t="s">
        <v>39</v>
      </c>
      <c r="G13" s="38"/>
      <c r="H13" s="38"/>
      <c r="I13" s="3"/>
      <c r="M13" s="17">
        <f>SUM(M11:M12)</f>
        <v>20000</v>
      </c>
      <c r="AF13">
        <f>SUM(AF5:AF12)</f>
        <v>225000</v>
      </c>
    </row>
    <row r="14" spans="1:32" ht="15" thickTop="1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104</v>
      </c>
      <c r="K14" s="8"/>
      <c r="M14" s="7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J15" s="8" t="s">
        <v>37</v>
      </c>
      <c r="K15" s="8" t="s">
        <v>38</v>
      </c>
      <c r="M15" s="7">
        <f>38000+1500+2500</f>
        <v>42000</v>
      </c>
      <c r="Q15">
        <v>81287</v>
      </c>
    </row>
    <row r="16" spans="1:32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16">
        <v>42479</v>
      </c>
      <c r="H16" s="29">
        <v>44832</v>
      </c>
      <c r="I16" s="3"/>
      <c r="J16" s="8" t="s">
        <v>37</v>
      </c>
      <c r="K16" s="8" t="s">
        <v>43</v>
      </c>
      <c r="M16" s="7">
        <f>38000+1500+2500</f>
        <v>42000</v>
      </c>
      <c r="Q16" t="e">
        <f>#REF!*2</f>
        <v>#REF!</v>
      </c>
    </row>
    <row r="17" spans="1:27" ht="15" thickBot="1" x14ac:dyDescent="0.4">
      <c r="A17" s="15"/>
      <c r="B17" s="15"/>
      <c r="C17" s="14"/>
      <c r="D17" t="s">
        <v>111</v>
      </c>
      <c r="E17" t="s">
        <v>48</v>
      </c>
      <c r="F17" t="s">
        <v>49</v>
      </c>
      <c r="G17" s="24"/>
      <c r="H17" s="39"/>
      <c r="I17" s="3"/>
      <c r="J17" s="8" t="s">
        <v>46</v>
      </c>
      <c r="M17" s="17">
        <f>SUM(M15:M16)</f>
        <v>84000</v>
      </c>
      <c r="N17">
        <v>73707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ht="15" thickTop="1" x14ac:dyDescent="0.35">
      <c r="A18" s="15"/>
      <c r="B18" s="15"/>
      <c r="C18">
        <v>1130</v>
      </c>
      <c r="D18" t="s">
        <v>50</v>
      </c>
      <c r="E18" t="s">
        <v>110</v>
      </c>
      <c r="F18" t="s">
        <v>14</v>
      </c>
      <c r="G18" s="24">
        <v>86060</v>
      </c>
      <c r="H18">
        <v>89270</v>
      </c>
      <c r="I18" s="3"/>
    </row>
    <row r="19" spans="1:27" x14ac:dyDescent="0.35">
      <c r="A19" s="15">
        <v>597</v>
      </c>
      <c r="B19" s="15">
        <v>555</v>
      </c>
      <c r="C19">
        <v>992</v>
      </c>
      <c r="I19" s="3"/>
    </row>
    <row r="20" spans="1:27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445738</v>
      </c>
      <c r="H25" s="22">
        <f>SUM(H4:H18)</f>
        <v>466900</v>
      </c>
      <c r="I25" s="7">
        <f>G25-H25</f>
        <v>-21162</v>
      </c>
      <c r="M25" s="7">
        <f>M9+M17+M13</f>
        <v>152500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152500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529500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41E4-2494-4961-A57E-39623D2A7BCC}">
  <dimension ref="A1:AF48"/>
  <sheetViews>
    <sheetView workbookViewId="0">
      <selection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44773</v>
      </c>
      <c r="H3" s="32">
        <v>44742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34058+22590</f>
        <v>56648</v>
      </c>
      <c r="H4">
        <v>53757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f>34058+22590</f>
        <v>56648</v>
      </c>
      <c r="H5">
        <v>53757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9549</v>
      </c>
      <c r="H6">
        <v>8897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923</v>
      </c>
      <c r="H7">
        <v>824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6942</v>
      </c>
      <c r="H8">
        <v>6575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>
        <v>13887</v>
      </c>
      <c r="H9">
        <v>13758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>
        <f>2143+9834</f>
        <v>11977</v>
      </c>
      <c r="H10">
        <f>1899+9732</f>
        <v>11631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>
        <v>13000</v>
      </c>
      <c r="H11">
        <v>18000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43212</v>
      </c>
      <c r="H16" s="29">
        <v>42479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/>
      <c r="D17" t="s">
        <v>111</v>
      </c>
      <c r="E17" t="s">
        <v>48</v>
      </c>
      <c r="F17" t="s">
        <v>49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1130</v>
      </c>
      <c r="D18" t="s">
        <v>50</v>
      </c>
      <c r="E18" t="s">
        <v>110</v>
      </c>
      <c r="F18" t="s">
        <v>14</v>
      </c>
      <c r="G18">
        <v>89136</v>
      </c>
      <c r="H18">
        <v>86060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451922</v>
      </c>
      <c r="H25" s="22">
        <f>SUM(H4:H18)</f>
        <v>445738</v>
      </c>
      <c r="I25" s="7">
        <f>G25-H25</f>
        <v>6184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0188-5298-4C6D-9B1C-FC5041E8A276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44804</v>
      </c>
      <c r="H3" s="32">
        <v>44773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56278</f>
        <v>56278</v>
      </c>
      <c r="H4">
        <f>34058+22590</f>
        <v>56648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>
        <f>56278</f>
        <v>56278</v>
      </c>
      <c r="H5">
        <f>34058+22590</f>
        <v>56648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>
        <v>9477</v>
      </c>
      <c r="H6">
        <v>9549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>
        <v>933</v>
      </c>
      <c r="H7">
        <v>923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>
        <v>6751</v>
      </c>
      <c r="H8">
        <v>6942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>
        <v>13350</v>
      </c>
      <c r="H9">
        <v>13887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>
        <f xml:space="preserve"> 8577.07+ 2108.34</f>
        <v>10685.41</v>
      </c>
      <c r="H10">
        <f>2143+9834</f>
        <v>11977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>
        <v>10700</v>
      </c>
      <c r="H11">
        <v>13000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41680</v>
      </c>
      <c r="H16" s="29">
        <v>43212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/>
      <c r="D17" t="s">
        <v>111</v>
      </c>
      <c r="E17" t="s">
        <v>48</v>
      </c>
      <c r="F17" t="s">
        <v>49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1191</v>
      </c>
      <c r="D18" t="s">
        <v>50</v>
      </c>
      <c r="E18" t="s">
        <v>110</v>
      </c>
      <c r="F18" t="s">
        <v>14</v>
      </c>
      <c r="G18">
        <v>87457</v>
      </c>
      <c r="H18">
        <v>89136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443589.41000000003</v>
      </c>
      <c r="H25" s="22">
        <f>SUM(H4:H18)</f>
        <v>451922</v>
      </c>
      <c r="I25" s="7">
        <f>G25-H25</f>
        <v>-8332.5899999999674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3093-39DB-4FA9-A512-9556C3D60FED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44834</v>
      </c>
      <c r="H3" s="32">
        <v>44804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53522</v>
      </c>
      <c r="H4" s="7">
        <f>56278</f>
        <v>56278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53522</v>
      </c>
      <c r="H5" s="7">
        <f>56278</f>
        <v>56278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9047</v>
      </c>
      <c r="H6" s="7">
        <v>9477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901</v>
      </c>
      <c r="H7" s="7">
        <v>933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6580</v>
      </c>
      <c r="H8" s="7">
        <v>6751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12960</v>
      </c>
      <c r="H9" s="7">
        <v>13350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f>7093+1672</f>
        <v>8765</v>
      </c>
      <c r="H10" s="7">
        <f xml:space="preserve"> 8577.07+ 2108.34</f>
        <v>10685.41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/>
      <c r="H11" s="7">
        <v>10700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41973</v>
      </c>
      <c r="H16" s="29">
        <v>41680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37</v>
      </c>
      <c r="D17" t="s">
        <v>123</v>
      </c>
      <c r="E17" t="s">
        <v>48</v>
      </c>
      <c r="F17" t="s">
        <v>14</v>
      </c>
      <c r="G17" s="7">
        <v>2800</v>
      </c>
      <c r="H17" s="7"/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1212</v>
      </c>
      <c r="D18" t="s">
        <v>50</v>
      </c>
      <c r="E18" t="s">
        <v>110</v>
      </c>
      <c r="F18" t="s">
        <v>14</v>
      </c>
      <c r="G18" s="7">
        <v>89660</v>
      </c>
      <c r="H18" s="7">
        <v>87457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429730</v>
      </c>
      <c r="H25" s="22">
        <f>SUM(H4:H18)</f>
        <v>443589.41000000003</v>
      </c>
      <c r="I25" s="7">
        <f>G25-H25</f>
        <v>-13859.410000000033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75AB-34EF-4325-AF2C-7234A8D29234}">
  <dimension ref="A1:AF48"/>
  <sheetViews>
    <sheetView topLeftCell="A11" workbookViewId="0">
      <selection activeCell="A11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44865</v>
      </c>
      <c r="H3" s="32">
        <v>44834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52928</v>
      </c>
      <c r="H4" s="7">
        <v>53522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52928</v>
      </c>
      <c r="H5" s="7">
        <v>53522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9049</v>
      </c>
      <c r="H6" s="7">
        <v>9047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873</v>
      </c>
      <c r="H7" s="7">
        <v>901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6835</v>
      </c>
      <c r="H8" s="7">
        <v>6580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14161</v>
      </c>
      <c r="H9" s="7">
        <v>12960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10400</v>
      </c>
      <c r="H10" s="7">
        <f>7093+1672</f>
        <v>8765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7000</v>
      </c>
      <c r="H11" s="7"/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47541</v>
      </c>
      <c r="H16" s="29">
        <v>41973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37</v>
      </c>
      <c r="D17" t="s">
        <v>123</v>
      </c>
      <c r="E17" t="s">
        <v>48</v>
      </c>
      <c r="F17" t="s">
        <v>14</v>
      </c>
      <c r="G17" s="7">
        <v>3171</v>
      </c>
      <c r="H17" s="7">
        <v>2800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1232</v>
      </c>
      <c r="D18" t="s">
        <v>50</v>
      </c>
      <c r="E18" t="s">
        <v>110</v>
      </c>
      <c r="F18" t="s">
        <v>14</v>
      </c>
      <c r="G18" s="7">
        <v>103257</v>
      </c>
      <c r="H18" s="7">
        <v>89660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458143</v>
      </c>
      <c r="H25" s="22">
        <f>SUM(H4:H18)</f>
        <v>429730</v>
      </c>
      <c r="I25" s="7">
        <f>G25-H25</f>
        <v>28413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562D-AA7A-4787-BA19-57FB6CBC5659}">
  <dimension ref="A1:AF48"/>
  <sheetViews>
    <sheetView topLeftCell="A7" workbookViewId="0">
      <selection activeCell="A7" sqref="A1:XFD1048576"/>
    </sheetView>
  </sheetViews>
  <sheetFormatPr defaultRowHeight="14.5" x14ac:dyDescent="0.35"/>
  <cols>
    <col min="4" max="4" width="14.453125" customWidth="1"/>
    <col min="5" max="5" width="13.7265625" customWidth="1"/>
    <col min="7" max="7" width="10.54296875" customWidth="1"/>
    <col min="8" max="8" width="10.179687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44895</v>
      </c>
      <c r="H3" s="32">
        <v>44865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54838</v>
      </c>
      <c r="H4" s="7">
        <v>52928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54838</v>
      </c>
      <c r="H5" s="7">
        <v>52928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9186</v>
      </c>
      <c r="H6" s="7">
        <v>9049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923</v>
      </c>
      <c r="H7" s="7">
        <v>873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7435</v>
      </c>
      <c r="H8" s="7">
        <v>6835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16293</v>
      </c>
      <c r="H9" s="7">
        <v>14161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9875</v>
      </c>
      <c r="H10" s="7">
        <v>10400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7000</v>
      </c>
      <c r="H11" s="7">
        <v>7000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51252</v>
      </c>
      <c r="H16" s="29">
        <v>47541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37</v>
      </c>
      <c r="D17" t="s">
        <v>123</v>
      </c>
      <c r="E17" t="s">
        <v>48</v>
      </c>
      <c r="F17" t="s">
        <v>14</v>
      </c>
      <c r="G17" s="7">
        <v>3419</v>
      </c>
      <c r="H17" s="7">
        <v>3171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1249</v>
      </c>
      <c r="D18" t="s">
        <v>50</v>
      </c>
      <c r="E18" t="s">
        <v>110</v>
      </c>
      <c r="F18" t="s">
        <v>14</v>
      </c>
      <c r="G18" s="7">
        <v>122832</v>
      </c>
      <c r="H18" s="7">
        <v>103257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487891</v>
      </c>
      <c r="H25" s="22">
        <f>SUM(H4:H18)</f>
        <v>458143</v>
      </c>
      <c r="I25" s="7">
        <f>G25-H25</f>
        <v>29748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2CE2-176D-4774-94C3-CF68643A06CC}">
  <dimension ref="A1:AF48"/>
  <sheetViews>
    <sheetView topLeftCell="A7" workbookViewId="0">
      <selection activeCell="A7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44925</v>
      </c>
      <c r="H3" s="32">
        <v>44895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53765</v>
      </c>
      <c r="H4" s="7">
        <v>54838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53765</v>
      </c>
      <c r="H5" s="7">
        <v>54838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9328</v>
      </c>
      <c r="H6" s="7">
        <v>9186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891</v>
      </c>
      <c r="H7" s="7">
        <v>923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7174</v>
      </c>
      <c r="H8" s="7">
        <v>7435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14889</v>
      </c>
      <c r="H9" s="7">
        <v>16293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f>2652+1563</f>
        <v>4215</v>
      </c>
      <c r="H10" s="7">
        <v>9875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5000</v>
      </c>
      <c r="H11" s="7">
        <v>7000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48519</v>
      </c>
      <c r="H16" s="29">
        <v>51252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57.9</v>
      </c>
      <c r="D17" t="s">
        <v>123</v>
      </c>
      <c r="E17" t="s">
        <v>48</v>
      </c>
      <c r="F17" t="s">
        <v>14</v>
      </c>
      <c r="G17" s="7">
        <v>4952</v>
      </c>
      <c r="H17" s="7">
        <v>3419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1262</v>
      </c>
      <c r="D18" t="s">
        <v>50</v>
      </c>
      <c r="E18" t="s">
        <v>110</v>
      </c>
      <c r="F18" t="s">
        <v>14</v>
      </c>
      <c r="G18" s="7">
        <v>107937</v>
      </c>
      <c r="H18" s="7">
        <v>122832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460435</v>
      </c>
      <c r="H25" s="22">
        <f>SUM(H4:H18)</f>
        <v>487891</v>
      </c>
      <c r="I25" s="7">
        <f>G25-H25</f>
        <v>-27456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7FF6-E142-446C-A890-20015ED61909}">
  <dimension ref="A1:AF4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44957</v>
      </c>
      <c r="H3" s="32">
        <v>44925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56619</v>
      </c>
      <c r="H4" s="7">
        <v>53765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56619</v>
      </c>
      <c r="H5" s="7">
        <v>53765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9466</v>
      </c>
      <c r="H6" s="7">
        <v>9328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925</v>
      </c>
      <c r="H7" s="7">
        <v>891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7460</v>
      </c>
      <c r="H8" s="7">
        <v>7174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15751</v>
      </c>
      <c r="H9" s="7">
        <v>14889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3994</v>
      </c>
      <c r="H10" s="7">
        <f>2652+1563</f>
        <v>4215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5000</v>
      </c>
      <c r="H11" s="7">
        <v>5000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37">
        <v>54255</v>
      </c>
      <c r="H16" s="29">
        <v>48519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57.9</v>
      </c>
      <c r="D17" t="s">
        <v>123</v>
      </c>
      <c r="E17" t="s">
        <v>48</v>
      </c>
      <c r="F17" t="s">
        <v>14</v>
      </c>
      <c r="G17" s="7">
        <v>5537</v>
      </c>
      <c r="H17" s="7">
        <v>4952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1262</v>
      </c>
      <c r="D18" t="s">
        <v>50</v>
      </c>
      <c r="E18" t="s">
        <v>110</v>
      </c>
      <c r="F18" t="s">
        <v>14</v>
      </c>
      <c r="G18" s="7">
        <v>122345</v>
      </c>
      <c r="H18" s="7">
        <v>107937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487971</v>
      </c>
      <c r="H25" s="22">
        <f>SUM(H4:H18)</f>
        <v>460435</v>
      </c>
      <c r="I25" s="7">
        <f>G25-H25</f>
        <v>27536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2774-B483-467D-98C2-DE79732440BC}">
  <dimension ref="A1:AF4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44985</v>
      </c>
      <c r="H3" s="32">
        <v>44957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56231</f>
        <v>56231</v>
      </c>
      <c r="H4" s="7">
        <v>56619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56231</f>
        <v>56231</v>
      </c>
      <c r="H5" s="7">
        <v>56619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9609</v>
      </c>
      <c r="H6" s="7">
        <v>9466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883</v>
      </c>
      <c r="H7" s="7">
        <v>925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7257</v>
      </c>
      <c r="H8" s="7">
        <v>7460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16103</v>
      </c>
      <c r="H9" s="7">
        <v>15751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1970</v>
      </c>
      <c r="H10" s="7">
        <v>3994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11500</v>
      </c>
      <c r="H11" s="7">
        <v>5000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7">
        <v>53426</v>
      </c>
      <c r="H16" s="29">
        <v>54255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57.9</v>
      </c>
      <c r="D17" t="s">
        <v>123</v>
      </c>
      <c r="E17" t="s">
        <v>48</v>
      </c>
      <c r="F17" t="s">
        <v>14</v>
      </c>
      <c r="G17" s="7">
        <v>5452</v>
      </c>
      <c r="H17" s="7">
        <v>5537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1296</v>
      </c>
      <c r="D18" t="s">
        <v>50</v>
      </c>
      <c r="E18" t="s">
        <v>110</v>
      </c>
      <c r="F18" t="s">
        <v>14</v>
      </c>
      <c r="G18" s="7">
        <v>121989</v>
      </c>
      <c r="H18" s="7">
        <v>122345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490651</v>
      </c>
      <c r="H25" s="22">
        <f>SUM(H4:H18)</f>
        <v>487971</v>
      </c>
      <c r="I25" s="7">
        <f>G25-H25</f>
        <v>2680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11FB-1BF7-456E-BCF8-EB2F7DCE252E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45016</v>
      </c>
      <c r="H3" s="32">
        <v>44985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55800</v>
      </c>
      <c r="H4" s="7">
        <f>56231</f>
        <v>56231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55800</v>
      </c>
      <c r="H5" s="7">
        <f>56231</f>
        <v>56231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9970</v>
      </c>
      <c r="H6" s="7">
        <v>9609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882</v>
      </c>
      <c r="H7" s="7">
        <v>883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7039</v>
      </c>
      <c r="H8" s="7">
        <v>7257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16541</v>
      </c>
      <c r="H9" s="7">
        <v>16103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7840</v>
      </c>
      <c r="H10" s="7">
        <v>1970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10000</v>
      </c>
      <c r="H11" s="7">
        <v>11500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7">
        <v>57859</v>
      </c>
      <c r="H16" s="7">
        <v>53426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77.040000000000006</v>
      </c>
      <c r="D17" t="s">
        <v>123</v>
      </c>
      <c r="E17" t="s">
        <v>48</v>
      </c>
      <c r="F17" t="s">
        <v>14</v>
      </c>
      <c r="G17" s="7">
        <v>7809</v>
      </c>
      <c r="H17" s="7">
        <v>5452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1312</v>
      </c>
      <c r="D18" t="s">
        <v>50</v>
      </c>
      <c r="E18" t="s">
        <v>110</v>
      </c>
      <c r="F18" t="s">
        <v>14</v>
      </c>
      <c r="G18" s="7">
        <v>133769</v>
      </c>
      <c r="H18" s="7">
        <v>121989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513309</v>
      </c>
      <c r="H25" s="22">
        <f>SUM(H4:H18)</f>
        <v>490651</v>
      </c>
      <c r="I25" s="7">
        <f>G25-H25</f>
        <v>22658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A91D-97E0-46F5-A038-486B412C19A3}">
  <dimension ref="A1:AF4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45044</v>
      </c>
      <c r="H3" s="32">
        <v>45016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v>56077</v>
      </c>
      <c r="H4" s="7">
        <v>55800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56077</v>
      </c>
      <c r="H5" s="7">
        <v>55800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10296</v>
      </c>
      <c r="H6" s="7">
        <v>9970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849</v>
      </c>
      <c r="H7" s="7">
        <v>882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7114</v>
      </c>
      <c r="H8" s="7">
        <v>7039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19486</v>
      </c>
      <c r="H9" s="7">
        <v>16541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f>13259+2986</f>
        <v>16245</v>
      </c>
      <c r="H10" s="7">
        <v>7840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10000</v>
      </c>
      <c r="H11" s="7">
        <v>10000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567</v>
      </c>
      <c r="D16" t="s">
        <v>44</v>
      </c>
      <c r="E16" t="s">
        <v>110</v>
      </c>
      <c r="F16" t="s">
        <v>14</v>
      </c>
      <c r="G16" s="29">
        <v>61171</v>
      </c>
      <c r="H16" s="7">
        <v>57859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77.040000000000006</v>
      </c>
      <c r="D17" t="s">
        <v>123</v>
      </c>
      <c r="E17" t="s">
        <v>48</v>
      </c>
      <c r="F17" t="s">
        <v>14</v>
      </c>
      <c r="G17" s="29">
        <v>8342</v>
      </c>
      <c r="H17" s="7">
        <v>7809</v>
      </c>
      <c r="I17" s="3"/>
      <c r="J17" s="8" t="s">
        <v>37</v>
      </c>
      <c r="K17" s="8" t="s">
        <v>38</v>
      </c>
      <c r="M17" s="7">
        <f>38000+1500+2500</f>
        <v>42000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1312</v>
      </c>
      <c r="D18" t="s">
        <v>50</v>
      </c>
      <c r="E18" t="s">
        <v>110</v>
      </c>
      <c r="F18" t="s">
        <v>14</v>
      </c>
      <c r="G18">
        <v>143083</v>
      </c>
      <c r="H18" s="7">
        <v>133769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86500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538740</v>
      </c>
      <c r="H25" s="22">
        <f>SUM(H4:H18)</f>
        <v>513309</v>
      </c>
      <c r="I25" s="7">
        <f>G25-H25</f>
        <v>25431</v>
      </c>
      <c r="M25" s="7">
        <f>M10+M19+M15</f>
        <v>157500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157500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534500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FB71-8157-4ADA-AA34-F1D5C6582D39}">
  <dimension ref="A1:AF48"/>
  <sheetViews>
    <sheetView topLeftCell="A10" workbookViewId="0">
      <selection activeCell="A10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45044</v>
      </c>
      <c r="H3" s="32">
        <v>45044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35848+22319</f>
        <v>58167</v>
      </c>
      <c r="H4" s="7">
        <v>56077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33941+22319</f>
        <v>56260</v>
      </c>
      <c r="H5" s="7">
        <v>56077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9954</v>
      </c>
      <c r="H6" s="7">
        <v>10296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845</v>
      </c>
      <c r="H7" s="7">
        <v>849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6470</v>
      </c>
      <c r="H8" s="7">
        <v>7114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17621</v>
      </c>
      <c r="H9" s="7">
        <v>19486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f>10230+1794</f>
        <v>12024</v>
      </c>
      <c r="H10" s="7">
        <f>13259+2986</f>
        <v>16245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10000</v>
      </c>
      <c r="H11" s="7">
        <v>10000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29">
        <v>60400</v>
      </c>
      <c r="H16" s="29">
        <v>61171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78.37</v>
      </c>
      <c r="D17" t="s">
        <v>123</v>
      </c>
      <c r="E17" t="s">
        <v>48</v>
      </c>
      <c r="F17" t="s">
        <v>14</v>
      </c>
      <c r="G17" s="29">
        <v>8236</v>
      </c>
      <c r="H17" s="29">
        <v>8342</v>
      </c>
      <c r="I17" s="3"/>
      <c r="J17" s="8" t="s">
        <v>37</v>
      </c>
      <c r="K17" s="8" t="s">
        <v>38</v>
      </c>
      <c r="M17" s="7">
        <f>38000+1500+2500+3317</f>
        <v>45317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1359</v>
      </c>
      <c r="D18" t="s">
        <v>50</v>
      </c>
      <c r="E18" t="s">
        <v>110</v>
      </c>
      <c r="F18" t="s">
        <v>14</v>
      </c>
      <c r="G18" s="7">
        <v>142895</v>
      </c>
      <c r="H18">
        <v>143083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89817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532872</v>
      </c>
      <c r="H25" s="22">
        <f>SUM(H4:H18)</f>
        <v>538740</v>
      </c>
      <c r="I25" s="7">
        <f>G25-H25</f>
        <v>-5868</v>
      </c>
      <c r="M25" s="7">
        <f>M10+M19+M15</f>
        <v>160817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160817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537817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FFC3-C15E-44B3-857A-BD9CE209FF88}">
  <dimension ref="A1:AF48"/>
  <sheetViews>
    <sheetView topLeftCell="C4" workbookViewId="0">
      <selection activeCell="C4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45107</v>
      </c>
      <c r="H3" s="32">
        <v>45077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(36948+34043+44866)/2</f>
        <v>57928.5</v>
      </c>
      <c r="H4" s="7">
        <f>35848+22319</f>
        <v>58167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(36948+34043+44866)/2</f>
        <v>57928.5</v>
      </c>
      <c r="H5" s="7">
        <f>33941+22319</f>
        <v>56260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10117</v>
      </c>
      <c r="H6" s="7">
        <v>9954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833</v>
      </c>
      <c r="H7" s="7">
        <v>845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6775</v>
      </c>
      <c r="H8" s="7">
        <v>6470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17621</v>
      </c>
      <c r="H9" s="7">
        <v>17621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f>10230+1794</f>
        <v>12024</v>
      </c>
      <c r="H10" s="7">
        <f>10230+1794</f>
        <v>12024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10000</v>
      </c>
      <c r="H11" s="7">
        <v>10000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29">
        <v>62099</v>
      </c>
      <c r="H16" s="29">
        <v>60400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29">
        <v>10750</v>
      </c>
      <c r="H17" s="29">
        <v>8236</v>
      </c>
      <c r="I17" s="3"/>
      <c r="J17" s="8" t="s">
        <v>37</v>
      </c>
      <c r="K17" s="8" t="s">
        <v>38</v>
      </c>
      <c r="M17" s="7">
        <f>38000+1500+2500+3317</f>
        <v>45317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1357</v>
      </c>
      <c r="D18" t="s">
        <v>50</v>
      </c>
      <c r="E18" t="s">
        <v>110</v>
      </c>
      <c r="F18" t="s">
        <v>14</v>
      </c>
      <c r="G18" s="7">
        <v>148577</v>
      </c>
      <c r="H18" s="7">
        <v>142895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89817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544653</v>
      </c>
      <c r="H25" s="22">
        <f>SUM(H4:H18)</f>
        <v>532872</v>
      </c>
      <c r="I25" s="7">
        <f>G25-H25</f>
        <v>11781</v>
      </c>
      <c r="M25" s="7">
        <f>M10+M19+M15</f>
        <v>160817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160817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537817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D174-19E9-46E5-9A4D-A32F5C1D9F84}">
  <dimension ref="A1:AF48"/>
  <sheetViews>
    <sheetView topLeftCell="A4" workbookViewId="0">
      <selection activeCell="A4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6.269531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45138</v>
      </c>
      <c r="H3" s="32">
        <v>45107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36529+22835</f>
        <v>59364</v>
      </c>
      <c r="H4" s="7">
        <f>(36948+34043+44866)/2</f>
        <v>57928.5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34580+22835</f>
        <v>57415</v>
      </c>
      <c r="H5" s="7">
        <f>(36948+34043+44866)/2</f>
        <v>57928.5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10206</v>
      </c>
      <c r="H6" s="7">
        <v>10117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816</v>
      </c>
      <c r="H7" s="7">
        <v>833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7120</v>
      </c>
      <c r="H8" s="7">
        <v>6775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17320</v>
      </c>
      <c r="H9" s="7">
        <v>17621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10856</v>
      </c>
      <c r="H10" s="7">
        <f>10230+1794</f>
        <v>12024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10000</v>
      </c>
      <c r="H11" s="7">
        <v>10000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s="8" t="s">
        <v>14</v>
      </c>
      <c r="M12">
        <v>9000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122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50000</v>
      </c>
      <c r="H14" s="37">
        <v>50000</v>
      </c>
      <c r="I14" s="3"/>
      <c r="J14" s="8" t="s">
        <v>114</v>
      </c>
      <c r="M14">
        <v>11000</v>
      </c>
      <c r="N14" s="8"/>
    </row>
    <row r="15" spans="1:32" ht="15" thickBot="1" x14ac:dyDescent="0.4">
      <c r="C15">
        <v>105.06</v>
      </c>
      <c r="D15" t="s">
        <v>35</v>
      </c>
      <c r="E15" t="s">
        <v>36</v>
      </c>
      <c r="F15" t="s">
        <v>14</v>
      </c>
      <c r="G15" s="37">
        <v>50000</v>
      </c>
      <c r="H15" s="37">
        <v>50000</v>
      </c>
      <c r="I15" s="3"/>
      <c r="M15" s="17">
        <f>SUM(M12:M14)</f>
        <v>20000</v>
      </c>
      <c r="Q15">
        <v>81287</v>
      </c>
    </row>
    <row r="16" spans="1:32" ht="15" thickTop="1" x14ac:dyDescent="0.35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29">
        <v>61262</v>
      </c>
      <c r="H16" s="29">
        <v>62099</v>
      </c>
      <c r="I16" s="3"/>
      <c r="J16" s="8" t="s">
        <v>104</v>
      </c>
      <c r="K16" s="8"/>
      <c r="M16" s="7"/>
      <c r="Q16" t="e">
        <f>#REF!*2</f>
        <v>#REF!</v>
      </c>
    </row>
    <row r="17" spans="1:27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29">
        <v>10428</v>
      </c>
      <c r="H17" s="29">
        <v>10750</v>
      </c>
      <c r="I17" s="3"/>
      <c r="J17" s="8" t="s">
        <v>37</v>
      </c>
      <c r="K17" s="8" t="s">
        <v>38</v>
      </c>
      <c r="M17" s="7">
        <f>38000+1500+2500+3317</f>
        <v>45317</v>
      </c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1357</v>
      </c>
      <c r="D18" t="s">
        <v>50</v>
      </c>
      <c r="E18" t="s">
        <v>110</v>
      </c>
      <c r="F18" t="s">
        <v>14</v>
      </c>
      <c r="G18" s="7">
        <v>148236</v>
      </c>
      <c r="H18" s="7">
        <v>148577</v>
      </c>
      <c r="I18" s="3"/>
      <c r="J18" s="8" t="s">
        <v>37</v>
      </c>
      <c r="K18" s="8" t="s">
        <v>43</v>
      </c>
      <c r="M18" s="7">
        <f>38000+1500+2500+2500</f>
        <v>44500</v>
      </c>
    </row>
    <row r="19" spans="1:27" ht="15" thickBot="1" x14ac:dyDescent="0.4">
      <c r="A19" s="15">
        <v>597</v>
      </c>
      <c r="B19" s="15">
        <v>555</v>
      </c>
      <c r="C19">
        <v>992</v>
      </c>
      <c r="I19" s="3"/>
      <c r="J19" s="8" t="s">
        <v>46</v>
      </c>
      <c r="M19" s="17">
        <f>SUM(M17:M18)</f>
        <v>89817</v>
      </c>
      <c r="N19">
        <v>73707</v>
      </c>
    </row>
    <row r="20" spans="1:27" ht="15" thickTop="1" x14ac:dyDescent="0.35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14" t="s">
        <v>51</v>
      </c>
      <c r="K20" s="14" t="s">
        <v>52</v>
      </c>
      <c r="L20" s="14"/>
      <c r="M20" s="14"/>
      <c r="N20" s="19">
        <v>42156</v>
      </c>
      <c r="P20">
        <v>37666</v>
      </c>
      <c r="W20">
        <f>388*70/1.43</f>
        <v>18993.006993006995</v>
      </c>
    </row>
    <row r="21" spans="1:27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20" t="s">
        <v>53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1" t="s">
        <v>54</v>
      </c>
      <c r="L22" s="14"/>
      <c r="M22" s="14"/>
      <c r="N22" s="19">
        <v>42583</v>
      </c>
    </row>
    <row r="23" spans="1:27" ht="15" thickBot="1" x14ac:dyDescent="0.4">
      <c r="M23" s="17">
        <f>SUM(M20:M22)</f>
        <v>0</v>
      </c>
    </row>
    <row r="24" spans="1:27" ht="15" thickTop="1" x14ac:dyDescent="0.35"/>
    <row r="25" spans="1:27" ht="15" thickBot="1" x14ac:dyDescent="0.4">
      <c r="D25" s="3" t="s">
        <v>46</v>
      </c>
      <c r="G25" s="22">
        <f>SUM(G4:G18)</f>
        <v>543023</v>
      </c>
      <c r="H25" s="22">
        <f>SUM(H4:H18)</f>
        <v>544653</v>
      </c>
      <c r="I25" s="7">
        <f>G25-H25</f>
        <v>-1630</v>
      </c>
      <c r="M25" s="7">
        <f>M10+M19+M15</f>
        <v>160817</v>
      </c>
      <c r="Z25">
        <v>1155</v>
      </c>
    </row>
    <row r="26" spans="1:27" ht="15" thickTop="1" x14ac:dyDescent="0.35"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M25</f>
        <v>160817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537817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F1B8-3672-4B2C-9339-0D8E612B412D}">
  <dimension ref="A1:AF4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45169</v>
      </c>
      <c r="H3" s="32">
        <v>45138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35962+22491</f>
        <v>58453</v>
      </c>
      <c r="H4" s="7">
        <f>36529+22835</f>
        <v>59364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56575</v>
      </c>
      <c r="H5" s="7">
        <f>34580+22835</f>
        <v>57415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10128</v>
      </c>
      <c r="H6" s="7">
        <v>10206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759</v>
      </c>
      <c r="H7" s="7">
        <v>816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5267</v>
      </c>
      <c r="H8" s="7">
        <v>7120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18458</v>
      </c>
      <c r="H9" s="7">
        <v>17320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14464</v>
      </c>
      <c r="H10" s="7">
        <v>10856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0</v>
      </c>
      <c r="H11" s="7">
        <v>10000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50000</v>
      </c>
      <c r="H12" s="37">
        <v>50000</v>
      </c>
      <c r="I12" s="3"/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1000</v>
      </c>
      <c r="H14" s="37">
        <v>50000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25000</v>
      </c>
      <c r="H15" s="37">
        <v>50000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7">
        <v>63519</v>
      </c>
      <c r="H16" s="29">
        <v>61262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7">
        <v>10812</v>
      </c>
      <c r="H17" s="29">
        <v>10428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1406</v>
      </c>
      <c r="D18" t="s">
        <v>50</v>
      </c>
      <c r="E18" t="s">
        <v>110</v>
      </c>
      <c r="F18" t="s">
        <v>14</v>
      </c>
      <c r="G18" s="7">
        <v>155429</v>
      </c>
      <c r="H18" s="7">
        <v>148236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469864</v>
      </c>
      <c r="H25" s="22">
        <f>SUM(H4:H24)</f>
        <v>543023</v>
      </c>
      <c r="I25" s="7">
        <f>G25-H25</f>
        <v>-73159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672A-159B-4F66-A46B-28C7E8BEC720}">
  <dimension ref="A1:AF48"/>
  <sheetViews>
    <sheetView topLeftCell="A18" workbookViewId="0">
      <selection activeCell="A18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45199</v>
      </c>
      <c r="H3" s="32">
        <v>45169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35326+22114</f>
        <v>57440</v>
      </c>
      <c r="H4" s="7">
        <f>35962+22491</f>
        <v>58453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33481+22114</f>
        <v>55595</v>
      </c>
      <c r="H5" s="7">
        <v>56575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9938</v>
      </c>
      <c r="H6" s="7">
        <v>10128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760</v>
      </c>
      <c r="H7" s="7">
        <v>759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5726</v>
      </c>
      <c r="H8" s="7">
        <v>5267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16911</v>
      </c>
      <c r="H9" s="7">
        <v>18458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11874</v>
      </c>
      <c r="H10" s="7">
        <v>14464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0</v>
      </c>
      <c r="H11" s="7">
        <v>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37">
        <v>40000</v>
      </c>
      <c r="H12" s="37">
        <v>50000</v>
      </c>
      <c r="I12" s="3"/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38"/>
      <c r="H13" s="38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37">
        <v>1000</v>
      </c>
      <c r="H14" s="3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37">
        <v>25000</v>
      </c>
      <c r="H15" s="37">
        <v>25000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7">
        <v>61104</v>
      </c>
      <c r="H16" s="7">
        <v>63519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7">
        <v>12448</v>
      </c>
      <c r="H17" s="7">
        <v>10812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1421</v>
      </c>
      <c r="D18" t="s">
        <v>50</v>
      </c>
      <c r="E18" t="s">
        <v>110</v>
      </c>
      <c r="F18" t="s">
        <v>14</v>
      </c>
      <c r="G18" s="7">
        <v>151108</v>
      </c>
      <c r="H18" s="7">
        <v>155429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448904</v>
      </c>
      <c r="H25" s="22">
        <f>SUM(H4:H24)</f>
        <v>469864</v>
      </c>
      <c r="I25" s="7">
        <f>G25-H25</f>
        <v>-20960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41EB-63E7-4B20-912E-647B5304176C}">
  <dimension ref="A1:AF48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45230</v>
      </c>
      <c r="H3" s="32" t="s">
        <v>125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34133+21356</f>
        <v>55489</v>
      </c>
      <c r="H4" s="7">
        <f>35326+22114</f>
        <v>57440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53722</v>
      </c>
      <c r="H5" s="7">
        <f>33481+22114</f>
        <v>55595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9745</v>
      </c>
      <c r="H6" s="7">
        <v>9938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691</v>
      </c>
      <c r="H7" s="7">
        <v>760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5311</v>
      </c>
      <c r="H8" s="7">
        <v>5726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17482</v>
      </c>
      <c r="H9" s="7">
        <v>16911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11756</v>
      </c>
      <c r="H10" s="7">
        <v>11874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0</v>
      </c>
      <c r="H11" s="7">
        <v>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40375</v>
      </c>
      <c r="H12" s="37">
        <v>40000</v>
      </c>
      <c r="I12" s="3"/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7"/>
      <c r="H13" s="38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3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25250</v>
      </c>
      <c r="H15" s="37">
        <v>25000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7">
        <v>63429</v>
      </c>
      <c r="H16" s="7">
        <v>61104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7">
        <v>12921</v>
      </c>
      <c r="H17" s="7">
        <v>12448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1421</v>
      </c>
      <c r="D18" t="s">
        <v>50</v>
      </c>
      <c r="E18" t="s">
        <v>110</v>
      </c>
      <c r="F18" t="s">
        <v>14</v>
      </c>
      <c r="G18">
        <v>158577</v>
      </c>
      <c r="H18" s="7">
        <v>151108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455748</v>
      </c>
      <c r="H25" s="22">
        <f>SUM(H4:H24)</f>
        <v>448904</v>
      </c>
      <c r="I25" s="7">
        <f>G25-H25</f>
        <v>6844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1704-7C34-48A2-9566-69C19C81BF29}">
  <dimension ref="A1:AF48"/>
  <sheetViews>
    <sheetView topLeftCell="C14" workbookViewId="0">
      <selection activeCell="C14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45260</v>
      </c>
      <c r="H3" s="32">
        <v>45230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35977+22506</f>
        <v>58483</v>
      </c>
      <c r="H4" s="7">
        <f>34133+21356</f>
        <v>55489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34096+22506</f>
        <v>56602</v>
      </c>
      <c r="H5" s="7">
        <v>53722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10125</v>
      </c>
      <c r="H6" s="7">
        <v>9745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700</v>
      </c>
      <c r="H7" s="7">
        <v>691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5374</v>
      </c>
      <c r="H8" s="7">
        <v>5311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19711</v>
      </c>
      <c r="H9" s="7">
        <v>17482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11418</v>
      </c>
      <c r="H10" s="7">
        <v>11756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0</v>
      </c>
      <c r="H11" s="7">
        <v>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40375</v>
      </c>
      <c r="H12" s="7">
        <v>40375</v>
      </c>
      <c r="I12" s="3"/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25250</v>
      </c>
      <c r="H15" s="7">
        <v>25250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/>
      <c r="B16" s="14"/>
      <c r="C16">
        <v>574</v>
      </c>
      <c r="D16" t="s">
        <v>44</v>
      </c>
      <c r="E16" t="s">
        <v>110</v>
      </c>
      <c r="F16" t="s">
        <v>14</v>
      </c>
      <c r="G16" s="7">
        <v>72115</v>
      </c>
      <c r="H16" s="7">
        <v>63429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7">
        <v>14691</v>
      </c>
      <c r="H17" s="7">
        <v>12921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1421</v>
      </c>
      <c r="D18" t="s">
        <v>50</v>
      </c>
      <c r="E18" t="s">
        <v>110</v>
      </c>
      <c r="F18" t="s">
        <v>14</v>
      </c>
      <c r="G18" s="7">
        <v>182107</v>
      </c>
      <c r="H18" s="7">
        <v>158577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497951</v>
      </c>
      <c r="H25" s="22">
        <f>SUM(H4:H24)</f>
        <v>455748</v>
      </c>
      <c r="I25" s="7">
        <f>G25-H25</f>
        <v>42203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ED86-87D5-44FA-8C77-F50FEE2DA71B}">
  <dimension ref="A1:AF48"/>
  <sheetViews>
    <sheetView workbookViewId="0">
      <selection activeCell="G12" sqref="G12:G15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45289</v>
      </c>
      <c r="H3" s="32">
        <v>45260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23600+37775</f>
        <v>61375</v>
      </c>
      <c r="H4" s="7">
        <f>35977+22506</f>
        <v>58483</v>
      </c>
      <c r="I4" s="3"/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23600+35778</f>
        <v>59378</v>
      </c>
      <c r="H5" s="7">
        <f>34096+22506</f>
        <v>56602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10482</v>
      </c>
      <c r="H6" s="7">
        <v>10125</v>
      </c>
      <c r="I6" s="3"/>
      <c r="J6" s="8" t="s">
        <v>20</v>
      </c>
      <c r="M6" s="7">
        <v>5000</v>
      </c>
      <c r="N6" s="8" t="s">
        <v>21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>
        <v>0</v>
      </c>
      <c r="H7" s="7">
        <v>700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5614</v>
      </c>
      <c r="H8" s="7">
        <v>5374</v>
      </c>
      <c r="I8" s="3"/>
      <c r="J8" s="8" t="s">
        <v>93</v>
      </c>
      <c r="M8" s="7">
        <v>20000</v>
      </c>
    </row>
    <row r="9" spans="1:32" x14ac:dyDescent="0.35">
      <c r="C9" t="s">
        <v>24</v>
      </c>
      <c r="D9" s="8" t="s">
        <v>120</v>
      </c>
      <c r="G9" s="7">
        <v>69795</v>
      </c>
      <c r="H9" s="7">
        <v>19711</v>
      </c>
      <c r="I9" s="3"/>
      <c r="J9" t="s">
        <v>33</v>
      </c>
      <c r="M9" s="11">
        <v>1500</v>
      </c>
      <c r="N9" s="8"/>
    </row>
    <row r="10" spans="1:32" ht="15" thickBot="1" x14ac:dyDescent="0.4">
      <c r="C10" t="s">
        <v>24</v>
      </c>
      <c r="D10" s="8" t="s">
        <v>119</v>
      </c>
      <c r="G10" s="7">
        <v>24076</v>
      </c>
      <c r="H10" s="7">
        <v>11418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1800</v>
      </c>
      <c r="H11" s="7">
        <v>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40375</v>
      </c>
      <c r="H12" s="7">
        <v>40375</v>
      </c>
      <c r="I12" s="3"/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25250</v>
      </c>
      <c r="H15" s="7">
        <v>25250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>
        <v>139.47999999999999</v>
      </c>
      <c r="B16" s="14"/>
      <c r="C16">
        <v>574</v>
      </c>
      <c r="D16" t="s">
        <v>44</v>
      </c>
      <c r="E16" t="s">
        <v>110</v>
      </c>
      <c r="F16" t="s">
        <v>14</v>
      </c>
      <c r="G16" s="7">
        <v>69570</v>
      </c>
      <c r="H16" s="7">
        <v>72115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7">
        <v>16503</v>
      </c>
      <c r="H17" s="7">
        <v>14691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1421</v>
      </c>
      <c r="D18" t="s">
        <v>50</v>
      </c>
      <c r="E18" t="s">
        <v>110</v>
      </c>
      <c r="F18" t="s">
        <v>14</v>
      </c>
      <c r="G18" s="7">
        <v>177228</v>
      </c>
      <c r="H18" s="7">
        <v>182107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562446</v>
      </c>
      <c r="H25" s="22">
        <f>SUM(H4:H24)</f>
        <v>497951</v>
      </c>
      <c r="I25" s="7">
        <f>G25-H25</f>
        <v>64495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192A-9C10-462E-9F89-B9E400B9DBE9}">
  <dimension ref="A1:AF53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45322</v>
      </c>
      <c r="H3" s="32">
        <v>45289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37808+23651</f>
        <v>61459</v>
      </c>
      <c r="H4" s="7">
        <f>23600+37775</f>
        <v>61375</v>
      </c>
      <c r="I4" s="3" t="s">
        <v>11</v>
      </c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35838+23651</f>
        <v>59489</v>
      </c>
      <c r="H5" s="7">
        <f>23600+35778</f>
        <v>59378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10818</v>
      </c>
      <c r="H6" s="7">
        <v>10482</v>
      </c>
      <c r="I6" s="3"/>
      <c r="J6" s="8" t="s">
        <v>20</v>
      </c>
      <c r="M6" s="7">
        <v>5000</v>
      </c>
      <c r="N6" s="8" t="s">
        <v>21</v>
      </c>
      <c r="O6" t="s">
        <v>11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41"/>
      <c r="H7" s="41">
        <v>0</v>
      </c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5257</v>
      </c>
      <c r="H8" s="7">
        <v>5614</v>
      </c>
      <c r="I8" s="3"/>
      <c r="J8" s="8" t="s">
        <v>93</v>
      </c>
      <c r="M8" s="7">
        <v>20000</v>
      </c>
      <c r="O8" t="s">
        <v>11</v>
      </c>
    </row>
    <row r="9" spans="1:32" x14ac:dyDescent="0.35">
      <c r="C9" t="s">
        <v>24</v>
      </c>
      <c r="D9" s="8" t="s">
        <v>120</v>
      </c>
      <c r="G9" s="7">
        <v>54168</v>
      </c>
      <c r="H9" s="7">
        <v>69795</v>
      </c>
      <c r="I9" s="3" t="s">
        <v>11</v>
      </c>
      <c r="J9" t="s">
        <v>33</v>
      </c>
      <c r="M9" s="11">
        <v>1500</v>
      </c>
      <c r="N9" s="8"/>
      <c r="O9" t="s">
        <v>11</v>
      </c>
    </row>
    <row r="10" spans="1:32" ht="15" thickBot="1" x14ac:dyDescent="0.4">
      <c r="C10" t="s">
        <v>24</v>
      </c>
      <c r="D10" s="8" t="s">
        <v>119</v>
      </c>
      <c r="G10" s="7">
        <v>18467</v>
      </c>
      <c r="H10" s="7">
        <v>24076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0</v>
      </c>
      <c r="H11" s="7">
        <v>1800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40625</v>
      </c>
      <c r="H12" s="7">
        <v>40375</v>
      </c>
      <c r="I12" s="3" t="s">
        <v>11</v>
      </c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25550</v>
      </c>
      <c r="H15" s="7">
        <v>25250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>
        <v>139.47999999999999</v>
      </c>
      <c r="B16" s="14"/>
      <c r="C16">
        <v>574</v>
      </c>
      <c r="D16" t="s">
        <v>44</v>
      </c>
      <c r="E16" t="s">
        <v>110</v>
      </c>
      <c r="F16" t="s">
        <v>14</v>
      </c>
      <c r="G16" s="7">
        <v>79479</v>
      </c>
      <c r="H16" s="7">
        <v>69570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97</v>
      </c>
      <c r="D17" t="s">
        <v>123</v>
      </c>
      <c r="E17" t="s">
        <v>48</v>
      </c>
      <c r="F17" t="s">
        <v>14</v>
      </c>
      <c r="G17" s="7">
        <v>18853</v>
      </c>
      <c r="H17" s="7">
        <v>16503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1421</v>
      </c>
      <c r="D18" t="s">
        <v>50</v>
      </c>
      <c r="E18" t="s">
        <v>110</v>
      </c>
      <c r="F18" t="s">
        <v>14</v>
      </c>
      <c r="G18" s="7">
        <v>203813</v>
      </c>
      <c r="H18" s="7">
        <v>177228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578978</v>
      </c>
      <c r="H25" s="22">
        <f>SUM(H4:H24)</f>
        <v>562446</v>
      </c>
      <c r="I25" s="7">
        <f>G25-H25</f>
        <v>16532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B658-4C0B-4893-9109-CCD6780B7205}">
  <dimension ref="A1:AF53"/>
  <sheetViews>
    <sheetView topLeftCell="C1" workbookViewId="0">
      <selection activeCell="C1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8" width="10.453125" bestFit="1" customWidth="1"/>
    <col min="9" max="9" width="7.90625" bestFit="1" customWidth="1"/>
    <col min="10" max="10" width="15.453125" bestFit="1" customWidth="1"/>
    <col min="11" max="11" width="8.08984375" bestFit="1" customWidth="1"/>
    <col min="12" max="12" width="4.7265625" bestFit="1" customWidth="1"/>
    <col min="13" max="13" width="7.453125" bestFit="1" customWidth="1"/>
    <col min="14" max="14" width="9.36328125" bestFit="1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H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45351</v>
      </c>
      <c r="H3" s="32">
        <v>45322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38609+24189</f>
        <v>62798</v>
      </c>
      <c r="H4" s="7">
        <f>37808+23651</f>
        <v>61459</v>
      </c>
      <c r="I4" s="3" t="s">
        <v>11</v>
      </c>
      <c r="J4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36671+24189</f>
        <v>60860</v>
      </c>
      <c r="H5" s="7">
        <f>35838+23651</f>
        <v>59489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11232</v>
      </c>
      <c r="H6" s="7">
        <v>10818</v>
      </c>
      <c r="I6" s="3"/>
      <c r="J6" s="8" t="s">
        <v>20</v>
      </c>
      <c r="M6" s="7">
        <v>5000</v>
      </c>
      <c r="N6" s="8" t="s">
        <v>21</v>
      </c>
      <c r="O6" t="s">
        <v>11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41"/>
      <c r="H7" s="41"/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5063</v>
      </c>
      <c r="H8" s="7">
        <v>5257</v>
      </c>
      <c r="I8" s="3"/>
      <c r="J8" s="8" t="s">
        <v>93</v>
      </c>
      <c r="M8" s="7">
        <v>20000</v>
      </c>
      <c r="O8" t="s">
        <v>11</v>
      </c>
    </row>
    <row r="9" spans="1:32" x14ac:dyDescent="0.35">
      <c r="C9" t="s">
        <v>24</v>
      </c>
      <c r="D9" s="8" t="s">
        <v>120</v>
      </c>
      <c r="G9" s="7">
        <v>51747</v>
      </c>
      <c r="H9" s="7">
        <v>54168</v>
      </c>
      <c r="I9" s="3" t="s">
        <v>11</v>
      </c>
      <c r="J9" t="s">
        <v>33</v>
      </c>
      <c r="M9" s="11">
        <v>1500</v>
      </c>
      <c r="N9" s="8"/>
      <c r="O9" t="s">
        <v>11</v>
      </c>
    </row>
    <row r="10" spans="1:32" ht="15" thickBot="1" x14ac:dyDescent="0.4">
      <c r="C10" t="s">
        <v>24</v>
      </c>
      <c r="D10" s="8" t="s">
        <v>119</v>
      </c>
      <c r="G10" s="7">
        <v>17306</v>
      </c>
      <c r="H10" s="7">
        <v>18467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20000</v>
      </c>
      <c r="H11" s="7">
        <v>0</v>
      </c>
      <c r="I11" s="3"/>
      <c r="J11" s="8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40625</v>
      </c>
      <c r="H12" s="7">
        <v>40625</v>
      </c>
      <c r="I12" s="3" t="s">
        <v>11</v>
      </c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t="s">
        <v>35</v>
      </c>
      <c r="E13" t="s">
        <v>36</v>
      </c>
      <c r="F13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25550</v>
      </c>
      <c r="H15" s="7">
        <v>25550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>
        <v>139.47999999999999</v>
      </c>
      <c r="B16" s="14"/>
      <c r="C16">
        <v>434</v>
      </c>
      <c r="D16" t="s">
        <v>44</v>
      </c>
      <c r="E16" t="s">
        <v>110</v>
      </c>
      <c r="F16" t="s">
        <v>14</v>
      </c>
      <c r="G16" s="7">
        <v>64298</v>
      </c>
      <c r="H16" s="7">
        <v>79479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136</v>
      </c>
      <c r="D17" t="s">
        <v>123</v>
      </c>
      <c r="E17" t="s">
        <v>48</v>
      </c>
      <c r="F17" t="s">
        <v>14</v>
      </c>
      <c r="G17" s="7">
        <v>20165</v>
      </c>
      <c r="H17" s="7">
        <v>18853</v>
      </c>
      <c r="I17" s="3"/>
      <c r="J17" s="8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1485</v>
      </c>
      <c r="D18" t="s">
        <v>50</v>
      </c>
      <c r="E18" t="s">
        <v>110</v>
      </c>
      <c r="F18" t="s">
        <v>14</v>
      </c>
      <c r="G18" s="7">
        <v>219703</v>
      </c>
      <c r="H18" s="7">
        <v>203813</v>
      </c>
      <c r="I18" s="3"/>
      <c r="J18" s="8" t="s">
        <v>37</v>
      </c>
      <c r="K18" s="8" t="s">
        <v>38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M19" s="7">
        <f>38000+1500+2500+2500</f>
        <v>44500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89817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600347</v>
      </c>
      <c r="H25" s="22">
        <f>SUM(H4:H24)</f>
        <v>578978</v>
      </c>
      <c r="I25" s="7">
        <f>G25-H25</f>
        <v>21369</v>
      </c>
      <c r="Z25">
        <v>1155</v>
      </c>
    </row>
    <row r="26" spans="1:27" ht="15" thickTop="1" x14ac:dyDescent="0.35">
      <c r="M26" s="7">
        <f>M10+M20+M16</f>
        <v>246317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246317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623317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5E6F-A43C-44E5-A3DE-AB352C997CB8}">
  <dimension ref="A1:AF53"/>
  <sheetViews>
    <sheetView topLeftCell="A10" zoomScale="120" zoomScaleNormal="120" workbookViewId="0">
      <selection activeCell="C16" sqref="C16:G18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7.90625" customWidth="1"/>
    <col min="10" max="10" width="15.453125" customWidth="1"/>
    <col min="11" max="11" width="8.08984375" customWidth="1"/>
    <col min="12" max="12" width="4.7265625" customWidth="1"/>
    <col min="13" max="13" width="7.453125" customWidth="1"/>
    <col min="14" max="14" width="9.36328125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45412</v>
      </c>
      <c r="H3" s="32">
        <v>45379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41263+24571</f>
        <v>65834</v>
      </c>
      <c r="H4" s="7">
        <f>39794+24906</f>
        <v>64700</v>
      </c>
      <c r="I4" s="3" t="s">
        <v>11</v>
      </c>
      <c r="J4" s="36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37247+24571</f>
        <v>61818</v>
      </c>
      <c r="H5" s="7">
        <f>37720+24906</f>
        <v>62626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11226</v>
      </c>
      <c r="H6" s="7">
        <v>11484</v>
      </c>
      <c r="I6" s="3"/>
      <c r="J6" s="8" t="s">
        <v>20</v>
      </c>
      <c r="M6" s="7">
        <v>5000</v>
      </c>
      <c r="N6" s="8" t="s">
        <v>21</v>
      </c>
      <c r="O6" t="s">
        <v>11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/>
      <c r="H7" s="41"/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5567</v>
      </c>
      <c r="H8" s="7">
        <v>5562</v>
      </c>
      <c r="I8" s="3"/>
      <c r="J8" s="8" t="s">
        <v>93</v>
      </c>
      <c r="M8" s="7">
        <v>20000</v>
      </c>
      <c r="O8" t="s">
        <v>11</v>
      </c>
    </row>
    <row r="9" spans="1:32" x14ac:dyDescent="0.35">
      <c r="C9" t="s">
        <v>24</v>
      </c>
      <c r="D9" s="8" t="s">
        <v>120</v>
      </c>
      <c r="G9" s="7">
        <v>48133</v>
      </c>
      <c r="H9" s="7">
        <v>48215</v>
      </c>
      <c r="I9" s="3" t="s">
        <v>11</v>
      </c>
      <c r="J9" t="s">
        <v>33</v>
      </c>
      <c r="M9" s="11">
        <v>1500</v>
      </c>
      <c r="N9" s="8"/>
      <c r="O9" t="s">
        <v>11</v>
      </c>
    </row>
    <row r="10" spans="1:32" ht="15" thickBot="1" x14ac:dyDescent="0.4">
      <c r="C10" t="s">
        <v>24</v>
      </c>
      <c r="D10" s="8" t="s">
        <v>119</v>
      </c>
      <c r="G10" s="7">
        <v>14933</v>
      </c>
      <c r="H10" s="7">
        <v>15288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11000</v>
      </c>
      <c r="H11" s="7">
        <v>18000</v>
      </c>
      <c r="I11" s="3"/>
      <c r="J11" s="3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40925</v>
      </c>
      <c r="H12" s="7">
        <v>40925</v>
      </c>
      <c r="I12" s="3" t="s">
        <v>11</v>
      </c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s="42" t="s">
        <v>35</v>
      </c>
      <c r="E13" s="42" t="s">
        <v>36</v>
      </c>
      <c r="F13" s="42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25600</v>
      </c>
      <c r="H15" s="7">
        <v>25600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>
        <v>139.47999999999999</v>
      </c>
      <c r="B16" s="14"/>
      <c r="C16">
        <v>434</v>
      </c>
      <c r="D16" t="s">
        <v>44</v>
      </c>
      <c r="E16" t="s">
        <v>110</v>
      </c>
      <c r="F16" t="s">
        <v>14</v>
      </c>
      <c r="G16" s="7">
        <v>62976</v>
      </c>
      <c r="H16" s="7">
        <v>67215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155</v>
      </c>
      <c r="D17" t="s">
        <v>123</v>
      </c>
      <c r="E17" t="s">
        <v>110</v>
      </c>
      <c r="F17" t="s">
        <v>14</v>
      </c>
      <c r="G17" s="7">
        <v>22539</v>
      </c>
      <c r="H17" s="7">
        <v>24056</v>
      </c>
      <c r="I17" s="3"/>
      <c r="J17" s="3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1507</v>
      </c>
      <c r="D18" t="s">
        <v>50</v>
      </c>
      <c r="E18" t="s">
        <v>110</v>
      </c>
      <c r="F18" t="s">
        <v>14</v>
      </c>
      <c r="G18" s="7">
        <v>218354</v>
      </c>
      <c r="H18" s="7">
        <v>231371</v>
      </c>
      <c r="I18" s="3"/>
      <c r="J18" s="8" t="s">
        <v>37</v>
      </c>
      <c r="K18" s="8" t="s">
        <v>38</v>
      </c>
      <c r="L18" t="s">
        <v>129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L19" t="s">
        <v>130</v>
      </c>
      <c r="M19" s="7">
        <f>38000+1500+2500+2500+4000</f>
        <v>48500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93817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589905</v>
      </c>
      <c r="H25" s="22">
        <f>SUM(H4:H24)</f>
        <v>616042</v>
      </c>
      <c r="I25" s="7">
        <f>G25-H25</f>
        <v>-26137</v>
      </c>
      <c r="Z25">
        <v>1155</v>
      </c>
    </row>
    <row r="26" spans="1:27" ht="15" thickTop="1" x14ac:dyDescent="0.35">
      <c r="M26" s="7">
        <f>M10+M20+M16</f>
        <v>250317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250317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627317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E986-B5A5-4BD0-848B-0CF6D0984818}">
  <dimension ref="A1:AF53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7.90625" customWidth="1"/>
    <col min="10" max="10" width="15.453125" customWidth="1"/>
    <col min="11" max="11" width="8.08984375" customWidth="1"/>
    <col min="12" max="12" width="4.7265625" customWidth="1"/>
    <col min="13" max="13" width="7.453125" customWidth="1"/>
    <col min="14" max="14" width="9.36328125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45412</v>
      </c>
      <c r="H3" s="32">
        <v>45379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41263+24571</f>
        <v>65834</v>
      </c>
      <c r="H4" s="7">
        <f>39794+24906</f>
        <v>64700</v>
      </c>
      <c r="I4" s="3" t="s">
        <v>11</v>
      </c>
      <c r="J4" s="36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37247+24571</f>
        <v>61818</v>
      </c>
      <c r="H5" s="7">
        <f>37720+24906</f>
        <v>62626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11226</v>
      </c>
      <c r="H6" s="7">
        <v>11484</v>
      </c>
      <c r="I6" s="3"/>
      <c r="J6" s="8" t="s">
        <v>20</v>
      </c>
      <c r="M6" s="7">
        <v>5000</v>
      </c>
      <c r="N6" s="8" t="s">
        <v>21</v>
      </c>
      <c r="O6" t="s">
        <v>11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/>
      <c r="H7" s="41"/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5567</v>
      </c>
      <c r="H8" s="7">
        <v>5562</v>
      </c>
      <c r="I8" s="3"/>
      <c r="J8" s="8" t="s">
        <v>93</v>
      </c>
      <c r="M8" s="7">
        <v>20000</v>
      </c>
      <c r="O8" t="s">
        <v>11</v>
      </c>
    </row>
    <row r="9" spans="1:32" x14ac:dyDescent="0.35">
      <c r="C9" t="s">
        <v>24</v>
      </c>
      <c r="D9" s="8" t="s">
        <v>120</v>
      </c>
      <c r="G9" s="7">
        <v>48133</v>
      </c>
      <c r="H9" s="7">
        <v>48215</v>
      </c>
      <c r="I9" s="3" t="s">
        <v>11</v>
      </c>
      <c r="J9" t="s">
        <v>33</v>
      </c>
      <c r="M9" s="11">
        <v>1500</v>
      </c>
      <c r="N9" s="8"/>
      <c r="O9" t="s">
        <v>11</v>
      </c>
    </row>
    <row r="10" spans="1:32" ht="15" thickBot="1" x14ac:dyDescent="0.4">
      <c r="C10" t="s">
        <v>24</v>
      </c>
      <c r="D10" s="8" t="s">
        <v>119</v>
      </c>
      <c r="G10" s="7">
        <v>14933</v>
      </c>
      <c r="H10" s="7">
        <v>15288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11000</v>
      </c>
      <c r="H11" s="7">
        <v>18000</v>
      </c>
      <c r="I11" s="3"/>
      <c r="J11" s="3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41025</v>
      </c>
      <c r="H12" s="7">
        <v>40925</v>
      </c>
      <c r="I12" s="3" t="s">
        <v>11</v>
      </c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s="42" t="s">
        <v>35</v>
      </c>
      <c r="E13" s="42" t="s">
        <v>36</v>
      </c>
      <c r="F13" s="42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25650</v>
      </c>
      <c r="H15" s="7">
        <v>25600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>
        <v>139.47999999999999</v>
      </c>
      <c r="B16" s="14"/>
      <c r="C16">
        <v>434</v>
      </c>
      <c r="D16" t="s">
        <v>44</v>
      </c>
      <c r="E16" t="s">
        <v>110</v>
      </c>
      <c r="F16" t="s">
        <v>14</v>
      </c>
      <c r="G16" s="7">
        <v>62976</v>
      </c>
      <c r="H16" s="7">
        <v>67215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155</v>
      </c>
      <c r="D17" t="s">
        <v>123</v>
      </c>
      <c r="E17" t="s">
        <v>48</v>
      </c>
      <c r="F17" t="s">
        <v>14</v>
      </c>
      <c r="G17" s="7">
        <v>22539</v>
      </c>
      <c r="H17" s="7">
        <v>24056</v>
      </c>
      <c r="I17" s="3"/>
      <c r="J17" s="3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1507</v>
      </c>
      <c r="D18" t="s">
        <v>50</v>
      </c>
      <c r="E18" t="s">
        <v>110</v>
      </c>
      <c r="F18" t="s">
        <v>14</v>
      </c>
      <c r="G18" s="7">
        <v>218354</v>
      </c>
      <c r="H18" s="7">
        <v>231371</v>
      </c>
      <c r="I18" s="3"/>
      <c r="J18" s="8" t="s">
        <v>37</v>
      </c>
      <c r="K18" s="8" t="s">
        <v>38</v>
      </c>
      <c r="L18" t="s">
        <v>129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L19" t="s">
        <v>130</v>
      </c>
      <c r="M19" s="7">
        <f>38000+1500+2500+2500+4000</f>
        <v>48500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93817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590055</v>
      </c>
      <c r="H25" s="22">
        <f>SUM(H4:H24)</f>
        <v>616042</v>
      </c>
      <c r="I25" s="7">
        <f>G25-H25</f>
        <v>-25987</v>
      </c>
      <c r="Z25">
        <v>1155</v>
      </c>
    </row>
    <row r="26" spans="1:27" ht="15" thickTop="1" x14ac:dyDescent="0.35">
      <c r="M26" s="7">
        <f>M10+M20+M16</f>
        <v>250317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250317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627317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D911-3AC8-4AE7-8450-8208C1C0C091}">
  <dimension ref="A1:AF53"/>
  <sheetViews>
    <sheetView topLeftCell="A13" workbookViewId="0">
      <selection activeCell="A13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7.90625" customWidth="1"/>
    <col min="10" max="10" width="15.453125" customWidth="1"/>
    <col min="11" max="11" width="8.08984375" customWidth="1"/>
    <col min="12" max="12" width="4.7265625" customWidth="1"/>
    <col min="13" max="13" width="7.453125" customWidth="1"/>
    <col min="14" max="14" width="9.36328125" customWidth="1"/>
    <col min="15" max="15" width="11.81640625" bestFit="1" customWidth="1"/>
    <col min="16" max="16" width="12.90625" bestFit="1" customWidth="1"/>
    <col min="17" max="17" width="8" bestFit="1" customWidth="1"/>
    <col min="18" max="18" width="14.6328125" bestFit="1" customWidth="1"/>
    <col min="19" max="20" width="8" bestFit="1" customWidth="1"/>
    <col min="21" max="21" width="4.81640625" bestFit="1" customWidth="1"/>
    <col min="22" max="22" width="5.81640625" bestFit="1" customWidth="1"/>
    <col min="23" max="23" width="11.81640625" bestFit="1" customWidth="1"/>
    <col min="24" max="24" width="3.81640625" bestFit="1" customWidth="1"/>
    <col min="25" max="25" width="7.81640625" bestFit="1" customWidth="1"/>
    <col min="26" max="26" width="10.1796875" bestFit="1" customWidth="1"/>
    <col min="27" max="27" width="10.26953125" bestFit="1" customWidth="1"/>
    <col min="31" max="31" width="5.81640625" bestFit="1" customWidth="1"/>
    <col min="32" max="32" width="6.81640625" bestFit="1" customWidth="1"/>
    <col min="260" max="260" width="14.453125" customWidth="1"/>
    <col min="261" max="261" width="13.7265625" customWidth="1"/>
    <col min="263" max="263" width="10.54296875" customWidth="1"/>
    <col min="516" max="516" width="14.453125" customWidth="1"/>
    <col min="517" max="517" width="13.7265625" customWidth="1"/>
    <col min="519" max="519" width="10.54296875" customWidth="1"/>
    <col min="772" max="772" width="14.453125" customWidth="1"/>
    <col min="773" max="773" width="13.7265625" customWidth="1"/>
    <col min="775" max="775" width="10.54296875" customWidth="1"/>
    <col min="1028" max="1028" width="14.453125" customWidth="1"/>
    <col min="1029" max="1029" width="13.7265625" customWidth="1"/>
    <col min="1031" max="1031" width="10.54296875" customWidth="1"/>
    <col min="1284" max="1284" width="14.453125" customWidth="1"/>
    <col min="1285" max="1285" width="13.7265625" customWidth="1"/>
    <col min="1287" max="1287" width="10.54296875" customWidth="1"/>
    <col min="1540" max="1540" width="14.453125" customWidth="1"/>
    <col min="1541" max="1541" width="13.7265625" customWidth="1"/>
    <col min="1543" max="1543" width="10.54296875" customWidth="1"/>
    <col min="1796" max="1796" width="14.453125" customWidth="1"/>
    <col min="1797" max="1797" width="13.7265625" customWidth="1"/>
    <col min="1799" max="1799" width="10.54296875" customWidth="1"/>
    <col min="2052" max="2052" width="14.453125" customWidth="1"/>
    <col min="2053" max="2053" width="13.7265625" customWidth="1"/>
    <col min="2055" max="2055" width="10.54296875" customWidth="1"/>
    <col min="2308" max="2308" width="14.453125" customWidth="1"/>
    <col min="2309" max="2309" width="13.7265625" customWidth="1"/>
    <col min="2311" max="2311" width="10.54296875" customWidth="1"/>
    <col min="2564" max="2564" width="14.453125" customWidth="1"/>
    <col min="2565" max="2565" width="13.7265625" customWidth="1"/>
    <col min="2567" max="2567" width="10.54296875" customWidth="1"/>
    <col min="2820" max="2820" width="14.453125" customWidth="1"/>
    <col min="2821" max="2821" width="13.7265625" customWidth="1"/>
    <col min="2823" max="2823" width="10.54296875" customWidth="1"/>
    <col min="3076" max="3076" width="14.453125" customWidth="1"/>
    <col min="3077" max="3077" width="13.7265625" customWidth="1"/>
    <col min="3079" max="3079" width="10.54296875" customWidth="1"/>
    <col min="3332" max="3332" width="14.453125" customWidth="1"/>
    <col min="3333" max="3333" width="13.7265625" customWidth="1"/>
    <col min="3335" max="3335" width="10.54296875" customWidth="1"/>
    <col min="3588" max="3588" width="14.453125" customWidth="1"/>
    <col min="3589" max="3589" width="13.7265625" customWidth="1"/>
    <col min="3591" max="3591" width="10.54296875" customWidth="1"/>
    <col min="3844" max="3844" width="14.453125" customWidth="1"/>
    <col min="3845" max="3845" width="13.7265625" customWidth="1"/>
    <col min="3847" max="3847" width="10.54296875" customWidth="1"/>
    <col min="4100" max="4100" width="14.453125" customWidth="1"/>
    <col min="4101" max="4101" width="13.7265625" customWidth="1"/>
    <col min="4103" max="4103" width="10.54296875" customWidth="1"/>
    <col min="4356" max="4356" width="14.453125" customWidth="1"/>
    <col min="4357" max="4357" width="13.7265625" customWidth="1"/>
    <col min="4359" max="4359" width="10.54296875" customWidth="1"/>
    <col min="4612" max="4612" width="14.453125" customWidth="1"/>
    <col min="4613" max="4613" width="13.7265625" customWidth="1"/>
    <col min="4615" max="4615" width="10.54296875" customWidth="1"/>
    <col min="4868" max="4868" width="14.453125" customWidth="1"/>
    <col min="4869" max="4869" width="13.7265625" customWidth="1"/>
    <col min="4871" max="4871" width="10.54296875" customWidth="1"/>
    <col min="5124" max="5124" width="14.453125" customWidth="1"/>
    <col min="5125" max="5125" width="13.7265625" customWidth="1"/>
    <col min="5127" max="5127" width="10.54296875" customWidth="1"/>
    <col min="5380" max="5380" width="14.453125" customWidth="1"/>
    <col min="5381" max="5381" width="13.7265625" customWidth="1"/>
    <col min="5383" max="5383" width="10.54296875" customWidth="1"/>
    <col min="5636" max="5636" width="14.453125" customWidth="1"/>
    <col min="5637" max="5637" width="13.7265625" customWidth="1"/>
    <col min="5639" max="5639" width="10.54296875" customWidth="1"/>
    <col min="5892" max="5892" width="14.453125" customWidth="1"/>
    <col min="5893" max="5893" width="13.7265625" customWidth="1"/>
    <col min="5895" max="5895" width="10.54296875" customWidth="1"/>
    <col min="6148" max="6148" width="14.453125" customWidth="1"/>
    <col min="6149" max="6149" width="13.7265625" customWidth="1"/>
    <col min="6151" max="6151" width="10.54296875" customWidth="1"/>
    <col min="6404" max="6404" width="14.453125" customWidth="1"/>
    <col min="6405" max="6405" width="13.7265625" customWidth="1"/>
    <col min="6407" max="6407" width="10.54296875" customWidth="1"/>
    <col min="6660" max="6660" width="14.453125" customWidth="1"/>
    <col min="6661" max="6661" width="13.7265625" customWidth="1"/>
    <col min="6663" max="6663" width="10.54296875" customWidth="1"/>
    <col min="6916" max="6916" width="14.453125" customWidth="1"/>
    <col min="6917" max="6917" width="13.7265625" customWidth="1"/>
    <col min="6919" max="6919" width="10.54296875" customWidth="1"/>
    <col min="7172" max="7172" width="14.453125" customWidth="1"/>
    <col min="7173" max="7173" width="13.7265625" customWidth="1"/>
    <col min="7175" max="7175" width="10.54296875" customWidth="1"/>
    <col min="7428" max="7428" width="14.453125" customWidth="1"/>
    <col min="7429" max="7429" width="13.7265625" customWidth="1"/>
    <col min="7431" max="7431" width="10.54296875" customWidth="1"/>
    <col min="7684" max="7684" width="14.453125" customWidth="1"/>
    <col min="7685" max="7685" width="13.7265625" customWidth="1"/>
    <col min="7687" max="7687" width="10.54296875" customWidth="1"/>
    <col min="7940" max="7940" width="14.453125" customWidth="1"/>
    <col min="7941" max="7941" width="13.7265625" customWidth="1"/>
    <col min="7943" max="7943" width="10.54296875" customWidth="1"/>
    <col min="8196" max="8196" width="14.453125" customWidth="1"/>
    <col min="8197" max="8197" width="13.7265625" customWidth="1"/>
    <col min="8199" max="8199" width="10.54296875" customWidth="1"/>
    <col min="8452" max="8452" width="14.453125" customWidth="1"/>
    <col min="8453" max="8453" width="13.7265625" customWidth="1"/>
    <col min="8455" max="8455" width="10.54296875" customWidth="1"/>
    <col min="8708" max="8708" width="14.453125" customWidth="1"/>
    <col min="8709" max="8709" width="13.7265625" customWidth="1"/>
    <col min="8711" max="8711" width="10.54296875" customWidth="1"/>
    <col min="8964" max="8964" width="14.453125" customWidth="1"/>
    <col min="8965" max="8965" width="13.7265625" customWidth="1"/>
    <col min="8967" max="8967" width="10.54296875" customWidth="1"/>
    <col min="9220" max="9220" width="14.453125" customWidth="1"/>
    <col min="9221" max="9221" width="13.7265625" customWidth="1"/>
    <col min="9223" max="9223" width="10.54296875" customWidth="1"/>
    <col min="9476" max="9476" width="14.453125" customWidth="1"/>
    <col min="9477" max="9477" width="13.7265625" customWidth="1"/>
    <col min="9479" max="9479" width="10.54296875" customWidth="1"/>
    <col min="9732" max="9732" width="14.453125" customWidth="1"/>
    <col min="9733" max="9733" width="13.7265625" customWidth="1"/>
    <col min="9735" max="9735" width="10.54296875" customWidth="1"/>
    <col min="9988" max="9988" width="14.453125" customWidth="1"/>
    <col min="9989" max="9989" width="13.7265625" customWidth="1"/>
    <col min="9991" max="9991" width="10.54296875" customWidth="1"/>
    <col min="10244" max="10244" width="14.453125" customWidth="1"/>
    <col min="10245" max="10245" width="13.7265625" customWidth="1"/>
    <col min="10247" max="10247" width="10.54296875" customWidth="1"/>
    <col min="10500" max="10500" width="14.453125" customWidth="1"/>
    <col min="10501" max="10501" width="13.7265625" customWidth="1"/>
    <col min="10503" max="10503" width="10.54296875" customWidth="1"/>
    <col min="10756" max="10756" width="14.453125" customWidth="1"/>
    <col min="10757" max="10757" width="13.7265625" customWidth="1"/>
    <col min="10759" max="10759" width="10.54296875" customWidth="1"/>
    <col min="11012" max="11012" width="14.453125" customWidth="1"/>
    <col min="11013" max="11013" width="13.7265625" customWidth="1"/>
    <col min="11015" max="11015" width="10.54296875" customWidth="1"/>
    <col min="11268" max="11268" width="14.453125" customWidth="1"/>
    <col min="11269" max="11269" width="13.7265625" customWidth="1"/>
    <col min="11271" max="11271" width="10.54296875" customWidth="1"/>
    <col min="11524" max="11524" width="14.453125" customWidth="1"/>
    <col min="11525" max="11525" width="13.7265625" customWidth="1"/>
    <col min="11527" max="11527" width="10.54296875" customWidth="1"/>
    <col min="11780" max="11780" width="14.453125" customWidth="1"/>
    <col min="11781" max="11781" width="13.7265625" customWidth="1"/>
    <col min="11783" max="11783" width="10.54296875" customWidth="1"/>
    <col min="12036" max="12036" width="14.453125" customWidth="1"/>
    <col min="12037" max="12037" width="13.7265625" customWidth="1"/>
    <col min="12039" max="12039" width="10.54296875" customWidth="1"/>
    <col min="12292" max="12292" width="14.453125" customWidth="1"/>
    <col min="12293" max="12293" width="13.7265625" customWidth="1"/>
    <col min="12295" max="12295" width="10.54296875" customWidth="1"/>
    <col min="12548" max="12548" width="14.453125" customWidth="1"/>
    <col min="12549" max="12549" width="13.7265625" customWidth="1"/>
    <col min="12551" max="12551" width="10.54296875" customWidth="1"/>
    <col min="12804" max="12804" width="14.453125" customWidth="1"/>
    <col min="12805" max="12805" width="13.7265625" customWidth="1"/>
    <col min="12807" max="12807" width="10.54296875" customWidth="1"/>
    <col min="13060" max="13060" width="14.453125" customWidth="1"/>
    <col min="13061" max="13061" width="13.7265625" customWidth="1"/>
    <col min="13063" max="13063" width="10.54296875" customWidth="1"/>
    <col min="13316" max="13316" width="14.453125" customWidth="1"/>
    <col min="13317" max="13317" width="13.7265625" customWidth="1"/>
    <col min="13319" max="13319" width="10.54296875" customWidth="1"/>
    <col min="13572" max="13572" width="14.453125" customWidth="1"/>
    <col min="13573" max="13573" width="13.7265625" customWidth="1"/>
    <col min="13575" max="13575" width="10.54296875" customWidth="1"/>
    <col min="13828" max="13828" width="14.453125" customWidth="1"/>
    <col min="13829" max="13829" width="13.7265625" customWidth="1"/>
    <col min="13831" max="13831" width="10.54296875" customWidth="1"/>
    <col min="14084" max="14084" width="14.453125" customWidth="1"/>
    <col min="14085" max="14085" width="13.7265625" customWidth="1"/>
    <col min="14087" max="14087" width="10.54296875" customWidth="1"/>
    <col min="14340" max="14340" width="14.453125" customWidth="1"/>
    <col min="14341" max="14341" width="13.7265625" customWidth="1"/>
    <col min="14343" max="14343" width="10.54296875" customWidth="1"/>
    <col min="14596" max="14596" width="14.453125" customWidth="1"/>
    <col min="14597" max="14597" width="13.7265625" customWidth="1"/>
    <col min="14599" max="14599" width="10.54296875" customWidth="1"/>
    <col min="14852" max="14852" width="14.453125" customWidth="1"/>
    <col min="14853" max="14853" width="13.7265625" customWidth="1"/>
    <col min="14855" max="14855" width="10.54296875" customWidth="1"/>
    <col min="15108" max="15108" width="14.453125" customWidth="1"/>
    <col min="15109" max="15109" width="13.7265625" customWidth="1"/>
    <col min="15111" max="15111" width="10.54296875" customWidth="1"/>
    <col min="15364" max="15364" width="14.453125" customWidth="1"/>
    <col min="15365" max="15365" width="13.7265625" customWidth="1"/>
    <col min="15367" max="15367" width="10.54296875" customWidth="1"/>
    <col min="15620" max="15620" width="14.453125" customWidth="1"/>
    <col min="15621" max="15621" width="13.7265625" customWidth="1"/>
    <col min="15623" max="15623" width="10.54296875" customWidth="1"/>
    <col min="15876" max="15876" width="14.453125" customWidth="1"/>
    <col min="15877" max="15877" width="13.7265625" customWidth="1"/>
    <col min="15879" max="15879" width="10.54296875" customWidth="1"/>
    <col min="16132" max="16132" width="14.453125" customWidth="1"/>
    <col min="16133" max="16133" width="13.7265625" customWidth="1"/>
    <col min="16135" max="16135" width="10.54296875" customWidth="1"/>
  </cols>
  <sheetData>
    <row r="1" spans="1:32" x14ac:dyDescent="0.35">
      <c r="A1" s="1">
        <v>201</v>
      </c>
    </row>
    <row r="2" spans="1:32" ht="17.5" customHeight="1" x14ac:dyDescent="0.35">
      <c r="D2" t="s">
        <v>0</v>
      </c>
      <c r="G2" s="2" t="s">
        <v>1</v>
      </c>
      <c r="J2" t="s">
        <v>2</v>
      </c>
      <c r="N2">
        <v>524438</v>
      </c>
      <c r="O2" t="s">
        <v>116</v>
      </c>
    </row>
    <row r="3" spans="1:32" x14ac:dyDescent="0.35">
      <c r="A3" s="34"/>
      <c r="D3" s="3" t="s">
        <v>3</v>
      </c>
      <c r="E3" s="3" t="s">
        <v>4</v>
      </c>
      <c r="F3" s="3" t="s">
        <v>5</v>
      </c>
      <c r="G3" s="32">
        <v>45443</v>
      </c>
      <c r="H3" s="32">
        <v>45412</v>
      </c>
      <c r="I3" s="3"/>
      <c r="J3" s="3" t="s">
        <v>3</v>
      </c>
      <c r="K3" s="3" t="s">
        <v>4</v>
      </c>
      <c r="L3" s="3" t="s">
        <v>5</v>
      </c>
      <c r="M3" s="4" t="s">
        <v>6</v>
      </c>
      <c r="Q3" t="s">
        <v>7</v>
      </c>
      <c r="R3" t="s">
        <v>8</v>
      </c>
    </row>
    <row r="4" spans="1:32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41598+24787</f>
        <v>66385</v>
      </c>
      <c r="H4">
        <f>41263+24571</f>
        <v>65834</v>
      </c>
      <c r="I4" s="3" t="s">
        <v>11</v>
      </c>
      <c r="J4" s="36" t="s">
        <v>105</v>
      </c>
      <c r="Q4" s="7" t="e">
        <f>#REF!-R4</f>
        <v>#REF!</v>
      </c>
      <c r="R4" s="7" t="e">
        <f>SUM(#REF!)</f>
        <v>#REF!</v>
      </c>
      <c r="T4">
        <v>130</v>
      </c>
      <c r="V4">
        <v>102.8</v>
      </c>
      <c r="W4" t="s">
        <v>13</v>
      </c>
    </row>
    <row r="5" spans="1:32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37535+24787</f>
        <v>62322</v>
      </c>
      <c r="H5" s="7">
        <f>37247+24571</f>
        <v>61818</v>
      </c>
      <c r="I5" s="3"/>
      <c r="J5" t="s">
        <v>15</v>
      </c>
      <c r="M5" s="7">
        <v>22000</v>
      </c>
      <c r="P5" t="s">
        <v>16</v>
      </c>
      <c r="T5">
        <v>71</v>
      </c>
      <c r="V5">
        <v>1.125</v>
      </c>
      <c r="W5" t="s">
        <v>17</v>
      </c>
      <c r="AE5" t="s">
        <v>18</v>
      </c>
      <c r="AF5">
        <v>100000</v>
      </c>
    </row>
    <row r="6" spans="1:32" x14ac:dyDescent="0.35">
      <c r="D6" s="8" t="s">
        <v>19</v>
      </c>
      <c r="G6" s="7">
        <v>11193</v>
      </c>
      <c r="H6" s="7">
        <v>11226</v>
      </c>
      <c r="I6" s="3"/>
      <c r="J6" s="8" t="s">
        <v>20</v>
      </c>
      <c r="M6" s="7">
        <v>5000</v>
      </c>
      <c r="N6" s="8" t="s">
        <v>21</v>
      </c>
      <c r="O6" t="s">
        <v>11</v>
      </c>
      <c r="P6" t="s">
        <v>22</v>
      </c>
      <c r="Q6" s="7" t="e">
        <f>#REF!+#REF!+#REF!+#REF!+#REF!</f>
        <v>#REF!</v>
      </c>
      <c r="T6">
        <f>T4-T5</f>
        <v>59</v>
      </c>
      <c r="AE6" t="s">
        <v>23</v>
      </c>
      <c r="AF6">
        <v>85000</v>
      </c>
    </row>
    <row r="7" spans="1:32" x14ac:dyDescent="0.35">
      <c r="C7" t="s">
        <v>24</v>
      </c>
      <c r="D7" s="8" t="s">
        <v>25</v>
      </c>
      <c r="G7" s="7"/>
      <c r="H7" s="7"/>
      <c r="I7" s="3"/>
      <c r="J7" t="s">
        <v>121</v>
      </c>
      <c r="M7">
        <v>2500</v>
      </c>
      <c r="P7" t="s">
        <v>26</v>
      </c>
      <c r="Q7" s="7" t="e">
        <f>SUM(#REF!)</f>
        <v>#REF!</v>
      </c>
    </row>
    <row r="8" spans="1:32" x14ac:dyDescent="0.35">
      <c r="C8" t="s">
        <v>24</v>
      </c>
      <c r="D8" s="8" t="s">
        <v>27</v>
      </c>
      <c r="G8" s="7">
        <v>5713</v>
      </c>
      <c r="H8" s="7">
        <v>5567</v>
      </c>
      <c r="I8" s="3"/>
      <c r="J8" s="8" t="s">
        <v>93</v>
      </c>
      <c r="M8" s="7">
        <v>20000</v>
      </c>
      <c r="O8" t="s">
        <v>11</v>
      </c>
    </row>
    <row r="9" spans="1:32" x14ac:dyDescent="0.35">
      <c r="C9" t="s">
        <v>24</v>
      </c>
      <c r="D9" s="8" t="s">
        <v>120</v>
      </c>
      <c r="G9" s="7">
        <v>47825</v>
      </c>
      <c r="H9" s="7">
        <v>48133</v>
      </c>
      <c r="I9" s="3" t="s">
        <v>11</v>
      </c>
      <c r="J9" t="s">
        <v>33</v>
      </c>
      <c r="M9" s="11">
        <v>1500</v>
      </c>
      <c r="N9" s="8"/>
      <c r="O9" t="s">
        <v>11</v>
      </c>
    </row>
    <row r="10" spans="1:32" ht="15" thickBot="1" x14ac:dyDescent="0.4">
      <c r="C10" t="s">
        <v>24</v>
      </c>
      <c r="D10" s="8" t="s">
        <v>119</v>
      </c>
      <c r="G10" s="7">
        <v>14889</v>
      </c>
      <c r="H10" s="7">
        <v>14933</v>
      </c>
      <c r="I10" s="3"/>
      <c r="M10" s="17">
        <f>SUM(M5:M9)</f>
        <v>51000</v>
      </c>
      <c r="N10" s="8"/>
    </row>
    <row r="11" spans="1:32" ht="15" thickTop="1" x14ac:dyDescent="0.35">
      <c r="D11" s="8" t="s">
        <v>31</v>
      </c>
      <c r="E11" t="s">
        <v>32</v>
      </c>
      <c r="G11" s="7">
        <v>7000</v>
      </c>
      <c r="H11" s="7">
        <v>11000</v>
      </c>
      <c r="I11" s="3"/>
      <c r="J11" s="3" t="s">
        <v>113</v>
      </c>
      <c r="N11" s="8"/>
      <c r="P11">
        <f>170114-(2*64563)</f>
        <v>40988</v>
      </c>
    </row>
    <row r="12" spans="1:32" x14ac:dyDescent="0.35">
      <c r="D12" t="s">
        <v>35</v>
      </c>
      <c r="E12" t="s">
        <v>36</v>
      </c>
      <c r="F12" t="s">
        <v>11</v>
      </c>
      <c r="G12" s="7">
        <v>41025</v>
      </c>
      <c r="H12" s="7">
        <v>41025</v>
      </c>
      <c r="I12" s="3" t="s">
        <v>11</v>
      </c>
      <c r="J12" t="s">
        <v>124</v>
      </c>
      <c r="M12">
        <v>85500</v>
      </c>
      <c r="N12" s="8"/>
      <c r="O12" s="12"/>
      <c r="R12">
        <f>14514*2</f>
        <v>29028</v>
      </c>
      <c r="AE12" t="s">
        <v>34</v>
      </c>
      <c r="AF12">
        <v>40000</v>
      </c>
    </row>
    <row r="13" spans="1:32" x14ac:dyDescent="0.35">
      <c r="D13" s="42" t="s">
        <v>35</v>
      </c>
      <c r="E13" s="42" t="s">
        <v>36</v>
      </c>
      <c r="F13" s="42" t="s">
        <v>39</v>
      </c>
      <c r="G13" s="7"/>
      <c r="H13" s="7"/>
      <c r="I13" s="3"/>
      <c r="J13" s="8" t="s">
        <v>14</v>
      </c>
      <c r="M13">
        <v>9000</v>
      </c>
      <c r="N13" s="8"/>
      <c r="AF13">
        <f>SUM(AF5:AF12)</f>
        <v>225000</v>
      </c>
    </row>
    <row r="14" spans="1:32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3"/>
      <c r="J14" s="8" t="s">
        <v>122</v>
      </c>
      <c r="N14" s="8"/>
    </row>
    <row r="15" spans="1:32" x14ac:dyDescent="0.35">
      <c r="C15">
        <v>105.06</v>
      </c>
      <c r="D15" t="s">
        <v>35</v>
      </c>
      <c r="E15" t="s">
        <v>36</v>
      </c>
      <c r="F15" t="s">
        <v>14</v>
      </c>
      <c r="G15" s="7">
        <v>25650</v>
      </c>
      <c r="H15" s="7">
        <v>25650</v>
      </c>
      <c r="I15" s="3"/>
      <c r="J15" s="8" t="s">
        <v>114</v>
      </c>
      <c r="M15">
        <v>11000</v>
      </c>
      <c r="Q15">
        <v>81287</v>
      </c>
    </row>
    <row r="16" spans="1:32" ht="15" thickBot="1" x14ac:dyDescent="0.4">
      <c r="A16" s="8">
        <v>139.47999999999999</v>
      </c>
      <c r="B16" s="14"/>
      <c r="C16">
        <v>434</v>
      </c>
      <c r="D16" t="s">
        <v>44</v>
      </c>
      <c r="E16" t="s">
        <v>110</v>
      </c>
      <c r="F16" t="s">
        <v>14</v>
      </c>
      <c r="G16" s="7">
        <v>61833</v>
      </c>
      <c r="H16" s="7">
        <v>62976</v>
      </c>
      <c r="I16" s="3"/>
      <c r="M16" s="17">
        <f>SUM(M12:M15)</f>
        <v>105500</v>
      </c>
      <c r="Q16" t="e">
        <f>#REF!*2</f>
        <v>#REF!</v>
      </c>
    </row>
    <row r="17" spans="1:27" ht="15" thickTop="1" x14ac:dyDescent="0.35">
      <c r="A17" s="15"/>
      <c r="B17" s="15"/>
      <c r="C17" s="14">
        <v>155</v>
      </c>
      <c r="D17" t="s">
        <v>123</v>
      </c>
      <c r="E17" t="s">
        <v>48</v>
      </c>
      <c r="F17" t="s">
        <v>14</v>
      </c>
      <c r="G17" s="7">
        <v>22180</v>
      </c>
      <c r="H17" s="7">
        <v>22539</v>
      </c>
      <c r="I17" s="3"/>
      <c r="J17" s="3" t="s">
        <v>104</v>
      </c>
      <c r="K17" s="8"/>
      <c r="M17" s="7"/>
      <c r="Q17" t="e">
        <f>Q15-Q16</f>
        <v>#REF!</v>
      </c>
      <c r="X17">
        <f>SUM(A17:A19)</f>
        <v>597</v>
      </c>
      <c r="Y17">
        <f>X17*V4</f>
        <v>61371.6</v>
      </c>
    </row>
    <row r="18" spans="1:27" x14ac:dyDescent="0.35">
      <c r="A18" s="15"/>
      <c r="B18" s="15"/>
      <c r="C18">
        <v>1507</v>
      </c>
      <c r="D18" t="s">
        <v>50</v>
      </c>
      <c r="E18" t="s">
        <v>110</v>
      </c>
      <c r="F18" t="s">
        <v>14</v>
      </c>
      <c r="G18" s="7">
        <v>216484</v>
      </c>
      <c r="H18" s="7">
        <v>218354</v>
      </c>
      <c r="I18" s="3"/>
      <c r="J18" s="8" t="s">
        <v>37</v>
      </c>
      <c r="K18" s="8" t="s">
        <v>38</v>
      </c>
      <c r="L18" t="s">
        <v>129</v>
      </c>
      <c r="M18" s="7">
        <f>38000+1500+2500+3317</f>
        <v>45317</v>
      </c>
    </row>
    <row r="19" spans="1:27" x14ac:dyDescent="0.35">
      <c r="A19" s="15">
        <v>597</v>
      </c>
      <c r="B19" s="15">
        <v>555</v>
      </c>
      <c r="C19">
        <v>992</v>
      </c>
      <c r="I19" s="3"/>
      <c r="J19" s="8" t="s">
        <v>37</v>
      </c>
      <c r="K19" s="8" t="s">
        <v>43</v>
      </c>
      <c r="L19" t="s">
        <v>130</v>
      </c>
      <c r="M19" s="7">
        <f>38000+1500+2500+2500+4000</f>
        <v>48500</v>
      </c>
      <c r="N19">
        <v>73707</v>
      </c>
    </row>
    <row r="20" spans="1:27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3"/>
      <c r="J20" s="8" t="s">
        <v>46</v>
      </c>
      <c r="M20" s="17">
        <f>SUM(M18:M19)</f>
        <v>93817</v>
      </c>
      <c r="N20" s="19">
        <v>42156</v>
      </c>
      <c r="P20">
        <v>37666</v>
      </c>
      <c r="W20">
        <f>388*70/1.43</f>
        <v>18993.006993006995</v>
      </c>
    </row>
    <row r="21" spans="1:27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4"/>
      <c r="J21" s="14" t="s">
        <v>51</v>
      </c>
      <c r="K21" s="14" t="s">
        <v>52</v>
      </c>
      <c r="L21" s="14"/>
      <c r="M21" s="14"/>
      <c r="N21" s="19">
        <v>41791</v>
      </c>
      <c r="P21">
        <v>35143</v>
      </c>
    </row>
    <row r="22" spans="1:27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4"/>
      <c r="J22" s="14" t="s">
        <v>51</v>
      </c>
      <c r="K22" s="20" t="s">
        <v>53</v>
      </c>
      <c r="L22" s="14"/>
      <c r="M22" s="14"/>
      <c r="N22" s="19">
        <v>42583</v>
      </c>
    </row>
    <row r="23" spans="1:27" x14ac:dyDescent="0.35">
      <c r="J23" s="14" t="s">
        <v>51</v>
      </c>
      <c r="K23" s="21" t="s">
        <v>54</v>
      </c>
      <c r="L23" s="14"/>
      <c r="M23" s="14"/>
    </row>
    <row r="24" spans="1:27" ht="15" thickBot="1" x14ac:dyDescent="0.4">
      <c r="M24" s="17">
        <f>SUM(M21:M23)</f>
        <v>0</v>
      </c>
    </row>
    <row r="25" spans="1:27" ht="15.5" thickTop="1" thickBot="1" x14ac:dyDescent="0.4">
      <c r="D25" s="3" t="s">
        <v>46</v>
      </c>
      <c r="G25" s="22">
        <f>SUM(G4:G18)</f>
        <v>583499</v>
      </c>
      <c r="H25" s="22">
        <f>SUM(H4:H24)</f>
        <v>590055</v>
      </c>
      <c r="I25" s="7">
        <f>G25-H25</f>
        <v>-6556</v>
      </c>
      <c r="Z25">
        <v>1155</v>
      </c>
    </row>
    <row r="26" spans="1:27" ht="15" thickTop="1" x14ac:dyDescent="0.35">
      <c r="M26" s="7">
        <f>M10+M20+M16</f>
        <v>250317</v>
      </c>
      <c r="Q26">
        <v>900</v>
      </c>
      <c r="Z26">
        <v>80.13</v>
      </c>
    </row>
    <row r="27" spans="1:27" ht="15" thickBot="1" x14ac:dyDescent="0.4">
      <c r="D27" s="8" t="s">
        <v>55</v>
      </c>
      <c r="G27" s="22"/>
      <c r="H27" s="22"/>
      <c r="K27">
        <v>77</v>
      </c>
      <c r="AA27">
        <f>Z26*Z25</f>
        <v>92550.15</v>
      </c>
    </row>
    <row r="28" spans="1:27" ht="15" thickTop="1" x14ac:dyDescent="0.35">
      <c r="D28" s="3" t="s">
        <v>56</v>
      </c>
      <c r="N28" s="8" t="s">
        <v>57</v>
      </c>
      <c r="O28" s="8" t="s">
        <v>58</v>
      </c>
      <c r="P28" s="23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Z28">
        <v>1.5</v>
      </c>
      <c r="AA28">
        <f>AA27/Z28</f>
        <v>61700.1</v>
      </c>
    </row>
    <row r="29" spans="1:27" x14ac:dyDescent="0.35">
      <c r="D29" s="8" t="s">
        <v>59</v>
      </c>
      <c r="E29" s="8" t="s">
        <v>60</v>
      </c>
      <c r="G29">
        <v>0</v>
      </c>
      <c r="O29">
        <v>2015</v>
      </c>
      <c r="P29" s="24">
        <v>2016</v>
      </c>
      <c r="Q29" s="24">
        <v>2017</v>
      </c>
      <c r="R29" s="24">
        <v>2018</v>
      </c>
      <c r="S29" s="24">
        <v>2019</v>
      </c>
      <c r="T29" s="24">
        <v>2020</v>
      </c>
      <c r="U29">
        <f>T29+1</f>
        <v>2021</v>
      </c>
    </row>
    <row r="30" spans="1:27" x14ac:dyDescent="0.35">
      <c r="D30" s="8" t="s">
        <v>61</v>
      </c>
      <c r="G30">
        <v>15000</v>
      </c>
      <c r="N30" t="s">
        <v>62</v>
      </c>
      <c r="O30">
        <v>164433.05128205128</v>
      </c>
      <c r="P30" s="5">
        <v>248589.40162966101</v>
      </c>
      <c r="Q30" s="5">
        <v>314989.18799999997</v>
      </c>
      <c r="R30" s="5">
        <v>335945</v>
      </c>
      <c r="S30" s="5">
        <v>336562</v>
      </c>
      <c r="T30" s="5">
        <v>374989.18799999997</v>
      </c>
    </row>
    <row r="31" spans="1:27" x14ac:dyDescent="0.35">
      <c r="D31" s="8" t="s">
        <v>63</v>
      </c>
      <c r="G31">
        <v>2000</v>
      </c>
      <c r="O31" s="7">
        <v>0</v>
      </c>
      <c r="P31" s="5">
        <v>0</v>
      </c>
      <c r="Q31" s="5"/>
      <c r="R31" s="5"/>
      <c r="S31" s="5">
        <v>30000</v>
      </c>
      <c r="T31" s="5">
        <v>7000</v>
      </c>
    </row>
    <row r="32" spans="1:27" ht="15" thickBot="1" x14ac:dyDescent="0.4">
      <c r="G32" s="25">
        <f>SUM(G29:G31)</f>
        <v>17000</v>
      </c>
      <c r="N32" t="s">
        <v>64</v>
      </c>
      <c r="O32" s="7">
        <v>29028</v>
      </c>
      <c r="P32" s="24"/>
      <c r="Q32" s="5"/>
      <c r="R32" s="5"/>
      <c r="S32" s="5"/>
      <c r="T32" s="5"/>
    </row>
    <row r="33" spans="4:27" ht="15" thickTop="1" x14ac:dyDescent="0.35">
      <c r="N33" t="s">
        <v>46</v>
      </c>
      <c r="O33" s="7">
        <v>193461.05128205128</v>
      </c>
      <c r="P33" s="5">
        <v>248589.40162966101</v>
      </c>
      <c r="Q33" s="5">
        <v>314989.18799999997</v>
      </c>
      <c r="R33" s="5">
        <v>335945</v>
      </c>
      <c r="S33" s="5">
        <v>374989.18799999997</v>
      </c>
      <c r="T33" s="5">
        <v>381989.18799999997</v>
      </c>
    </row>
    <row r="34" spans="4:27" x14ac:dyDescent="0.35">
      <c r="D34" s="8" t="s">
        <v>65</v>
      </c>
      <c r="P34" s="7">
        <v>55128.350347609725</v>
      </c>
      <c r="Q34" s="7">
        <v>66399.786370338959</v>
      </c>
      <c r="R34" s="7">
        <f>R33-Q33</f>
        <v>20955.812000000034</v>
      </c>
    </row>
    <row r="36" spans="4:27" ht="15" thickBot="1" x14ac:dyDescent="0.4">
      <c r="D36" s="8" t="s">
        <v>66</v>
      </c>
      <c r="G36" s="17">
        <f>G27+G32-G34</f>
        <v>17000</v>
      </c>
      <c r="N36" t="s">
        <v>67</v>
      </c>
      <c r="P36" s="26">
        <v>282432.88663898304</v>
      </c>
      <c r="Q36" s="7">
        <v>33843.48500932203</v>
      </c>
      <c r="R36" s="7">
        <v>8687</v>
      </c>
      <c r="S36" s="7">
        <v>120736</v>
      </c>
      <c r="Z36" t="s">
        <v>68</v>
      </c>
      <c r="AA36">
        <v>1500</v>
      </c>
    </row>
    <row r="37" spans="4:27" ht="15" thickTop="1" x14ac:dyDescent="0.35">
      <c r="N37" t="s">
        <v>42</v>
      </c>
      <c r="P37" s="26">
        <v>294892.69565217395</v>
      </c>
      <c r="Q37" s="7">
        <v>12459.809013190912</v>
      </c>
      <c r="R37" s="7">
        <v>5697</v>
      </c>
      <c r="S37" s="7">
        <v>43735</v>
      </c>
    </row>
    <row r="38" spans="4:27" ht="15" thickBot="1" x14ac:dyDescent="0.4">
      <c r="D38" s="8" t="s">
        <v>69</v>
      </c>
      <c r="G38" s="17">
        <f>M26</f>
        <v>250317</v>
      </c>
      <c r="N38" t="s">
        <v>41</v>
      </c>
      <c r="P38" s="26">
        <v>310690.6944444445</v>
      </c>
      <c r="Q38" s="7">
        <v>15797.998792270548</v>
      </c>
      <c r="R38" s="7">
        <v>37050</v>
      </c>
      <c r="S38" s="7">
        <v>-7000</v>
      </c>
    </row>
    <row r="39" spans="4:27" ht="15" thickTop="1" x14ac:dyDescent="0.35">
      <c r="N39" t="s">
        <v>70</v>
      </c>
      <c r="P39" s="27">
        <v>314989.18799999997</v>
      </c>
      <c r="Q39" s="7">
        <v>4298.4935555554694</v>
      </c>
      <c r="R39" s="7">
        <v>-31361</v>
      </c>
      <c r="S39" s="7">
        <v>11634</v>
      </c>
    </row>
    <row r="40" spans="4:27" x14ac:dyDescent="0.35">
      <c r="D40" s="8" t="s">
        <v>37</v>
      </c>
      <c r="G40">
        <v>360000</v>
      </c>
      <c r="Q40" s="7">
        <v>66399.786370338959</v>
      </c>
      <c r="R40" s="7">
        <f>SUM(R36:R39)</f>
        <v>20073</v>
      </c>
      <c r="S40" s="7">
        <f>SUM(S36:S39)</f>
        <v>169105</v>
      </c>
    </row>
    <row r="41" spans="4:27" ht="15" thickBot="1" x14ac:dyDescent="0.4">
      <c r="D41" s="8" t="s">
        <v>71</v>
      </c>
      <c r="G41" s="25">
        <f>G40</f>
        <v>360000</v>
      </c>
    </row>
    <row r="42" spans="4:27" ht="15" thickTop="1" x14ac:dyDescent="0.35">
      <c r="N42" s="8" t="s">
        <v>72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Z42" t="s">
        <v>73</v>
      </c>
    </row>
    <row r="43" spans="4:27" x14ac:dyDescent="0.35">
      <c r="D43" s="8" t="s">
        <v>74</v>
      </c>
      <c r="G43" s="7">
        <f>G41+G38+G36</f>
        <v>627317</v>
      </c>
      <c r="O43">
        <v>2015</v>
      </c>
      <c r="P43">
        <v>2016</v>
      </c>
      <c r="Q43">
        <v>2017</v>
      </c>
      <c r="R43">
        <v>2018</v>
      </c>
      <c r="S43">
        <v>2019</v>
      </c>
      <c r="T43">
        <v>2020</v>
      </c>
      <c r="Z43" t="s">
        <v>75</v>
      </c>
      <c r="AA43" t="s">
        <v>76</v>
      </c>
    </row>
    <row r="44" spans="4:27" x14ac:dyDescent="0.35">
      <c r="N44" t="s">
        <v>77</v>
      </c>
      <c r="O44" s="7">
        <v>105896.15384615386</v>
      </c>
      <c r="P44" s="7">
        <v>163396.15384615387</v>
      </c>
      <c r="Q44" s="7">
        <v>193396.15384615387</v>
      </c>
      <c r="R44" s="7">
        <v>223396.15384615387</v>
      </c>
      <c r="S44" s="7">
        <v>253396.15384615387</v>
      </c>
      <c r="T44" s="7">
        <v>283396.15384615387</v>
      </c>
    </row>
    <row r="45" spans="4:27" x14ac:dyDescent="0.35">
      <c r="N45" s="8" t="s">
        <v>78</v>
      </c>
      <c r="O45" s="7">
        <v>30000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</row>
    <row r="46" spans="4:27" x14ac:dyDescent="0.35">
      <c r="N46" t="s">
        <v>79</v>
      </c>
      <c r="O46" s="7">
        <v>27500.000000000004</v>
      </c>
      <c r="P46" s="7"/>
      <c r="Q46" s="7"/>
      <c r="R46" s="7"/>
      <c r="S46" s="7"/>
      <c r="T46" s="7"/>
    </row>
    <row r="47" spans="4:27" x14ac:dyDescent="0.35">
      <c r="N47" t="s">
        <v>46</v>
      </c>
      <c r="O47" s="7">
        <v>163396.15384615387</v>
      </c>
      <c r="P47" s="7">
        <v>193396.15384615387</v>
      </c>
      <c r="Q47" s="7">
        <v>223396.15384615387</v>
      </c>
      <c r="R47" s="7">
        <v>253396.15384615387</v>
      </c>
      <c r="S47" s="7">
        <v>283396.15384615387</v>
      </c>
      <c r="T47" s="7">
        <v>313396.15384615387</v>
      </c>
    </row>
    <row r="48" spans="4:27" x14ac:dyDescent="0.35">
      <c r="T48" s="7">
        <f>T47-P33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B9E2-CE79-43E0-BE76-E3DB2896510B}">
  <dimension ref="A1:AG53"/>
  <sheetViews>
    <sheetView topLeftCell="A3" workbookViewId="0">
      <selection activeCell="B24" sqref="B24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45471</v>
      </c>
      <c r="H3" s="32">
        <v>45412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134</v>
      </c>
      <c r="F4" t="s">
        <v>11</v>
      </c>
      <c r="G4" s="7">
        <f>42250+25212</f>
        <v>67462</v>
      </c>
      <c r="H4" s="7">
        <f>41598+24787</f>
        <v>66385</v>
      </c>
      <c r="I4" s="7">
        <f>G4-H4</f>
        <v>1077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134</v>
      </c>
      <c r="F5" t="s">
        <v>14</v>
      </c>
      <c r="G5" s="7">
        <f>38132+25213</f>
        <v>63345</v>
      </c>
      <c r="H5" s="7">
        <f>37535+24787</f>
        <v>62322</v>
      </c>
      <c r="I5" s="7">
        <f t="shared" ref="I5:I19" si="0">G5-H5</f>
        <v>1023</v>
      </c>
      <c r="J5" s="3"/>
      <c r="K5" t="s">
        <v>15</v>
      </c>
      <c r="N5" s="7">
        <v>22000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132</v>
      </c>
      <c r="E6" t="s">
        <v>19</v>
      </c>
      <c r="G6" s="7">
        <v>11458</v>
      </c>
      <c r="H6" s="7">
        <v>11193</v>
      </c>
      <c r="I6" s="7">
        <f t="shared" si="0"/>
        <v>265</v>
      </c>
      <c r="J6" s="3"/>
      <c r="K6" s="8" t="s">
        <v>20</v>
      </c>
      <c r="N6" s="7">
        <v>5000</v>
      </c>
      <c r="O6" s="8" t="s">
        <v>21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43" t="s">
        <v>25</v>
      </c>
      <c r="E7" s="44"/>
      <c r="F7" s="44"/>
      <c r="G7" s="44">
        <v>0</v>
      </c>
      <c r="H7" s="45">
        <v>0</v>
      </c>
      <c r="I7" s="7">
        <f t="shared" si="0"/>
        <v>0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E8" t="s">
        <v>135</v>
      </c>
      <c r="G8" s="7">
        <v>5753</v>
      </c>
      <c r="H8" s="7">
        <v>5713</v>
      </c>
      <c r="I8" s="7">
        <f t="shared" si="0"/>
        <v>40</v>
      </c>
      <c r="J8" s="3"/>
      <c r="K8" s="8" t="s">
        <v>93</v>
      </c>
      <c r="N8" s="7">
        <v>20000</v>
      </c>
    </row>
    <row r="9" spans="1:33" x14ac:dyDescent="0.35">
      <c r="C9" t="s">
        <v>24</v>
      </c>
      <c r="D9" s="8" t="s">
        <v>120</v>
      </c>
      <c r="E9" t="s">
        <v>136</v>
      </c>
      <c r="G9" s="7">
        <v>47285</v>
      </c>
      <c r="H9" s="7">
        <v>47825</v>
      </c>
      <c r="I9" s="7">
        <f t="shared" si="0"/>
        <v>-540</v>
      </c>
      <c r="J9" s="3" t="s">
        <v>11</v>
      </c>
      <c r="K9" t="s">
        <v>33</v>
      </c>
      <c r="N9" s="11">
        <v>1500</v>
      </c>
      <c r="O9" s="8"/>
    </row>
    <row r="10" spans="1:33" ht="15" thickBot="1" x14ac:dyDescent="0.4">
      <c r="C10" t="s">
        <v>24</v>
      </c>
      <c r="D10" s="8" t="s">
        <v>119</v>
      </c>
      <c r="E10" t="s">
        <v>136</v>
      </c>
      <c r="G10" s="7">
        <v>14753</v>
      </c>
      <c r="H10" s="7">
        <v>14889</v>
      </c>
      <c r="I10" s="7">
        <f t="shared" si="0"/>
        <v>-136</v>
      </c>
      <c r="J10" s="3"/>
      <c r="N10" s="17">
        <f>SUM(N5:N9)</f>
        <v>51000</v>
      </c>
      <c r="O10" s="8"/>
    </row>
    <row r="11" spans="1:33" ht="15" thickTop="1" x14ac:dyDescent="0.35">
      <c r="D11" s="8" t="s">
        <v>31</v>
      </c>
      <c r="E11" t="s">
        <v>32</v>
      </c>
      <c r="G11" s="7">
        <v>22000</v>
      </c>
      <c r="H11" s="7">
        <v>7000</v>
      </c>
      <c r="I11" s="7">
        <f t="shared" si="0"/>
        <v>15000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t="s">
        <v>35</v>
      </c>
      <c r="E12" t="s">
        <v>36</v>
      </c>
      <c r="F12" t="s">
        <v>11</v>
      </c>
      <c r="G12" s="7">
        <v>41025</v>
      </c>
      <c r="H12" s="7">
        <v>41025</v>
      </c>
      <c r="I12" s="7">
        <f t="shared" si="0"/>
        <v>0</v>
      </c>
      <c r="J12" s="3" t="s">
        <v>11</v>
      </c>
      <c r="K12" t="s">
        <v>124</v>
      </c>
      <c r="N12">
        <v>85500</v>
      </c>
      <c r="O12" s="8"/>
      <c r="P12" s="12"/>
      <c r="S12">
        <f>14514*2</f>
        <v>29028</v>
      </c>
      <c r="AF12" t="s">
        <v>34</v>
      </c>
      <c r="AG12">
        <v>40000</v>
      </c>
    </row>
    <row r="13" spans="1:33" x14ac:dyDescent="0.35">
      <c r="D13" s="46" t="s">
        <v>35</v>
      </c>
      <c r="E13" s="46" t="s">
        <v>36</v>
      </c>
      <c r="F13" s="46" t="s">
        <v>39</v>
      </c>
      <c r="G13" s="45"/>
      <c r="H13" s="7"/>
      <c r="I13" s="7">
        <f t="shared" si="0"/>
        <v>0</v>
      </c>
      <c r="J13" s="3"/>
      <c r="K13" s="8" t="s">
        <v>14</v>
      </c>
      <c r="N13">
        <v>9000</v>
      </c>
      <c r="O13" s="8"/>
      <c r="AG13">
        <f>SUM(AG5:AG12)</f>
        <v>225000</v>
      </c>
    </row>
    <row r="14" spans="1:33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7">
        <f t="shared" si="0"/>
        <v>0</v>
      </c>
      <c r="J14" s="3"/>
      <c r="K14" s="8" t="s">
        <v>122</v>
      </c>
      <c r="O14" s="8"/>
    </row>
    <row r="15" spans="1:33" x14ac:dyDescent="0.35">
      <c r="C15">
        <v>105.06</v>
      </c>
      <c r="D15" t="s">
        <v>35</v>
      </c>
      <c r="E15" t="s">
        <v>36</v>
      </c>
      <c r="F15" t="s">
        <v>14</v>
      </c>
      <c r="G15" s="7">
        <v>25650</v>
      </c>
      <c r="H15" s="7">
        <v>25650</v>
      </c>
      <c r="I15" s="7">
        <f t="shared" si="0"/>
        <v>0</v>
      </c>
      <c r="J15" s="3"/>
      <c r="K15" s="8" t="s">
        <v>114</v>
      </c>
      <c r="N15">
        <v>11000</v>
      </c>
      <c r="R15">
        <v>81287</v>
      </c>
    </row>
    <row r="16" spans="1:33" ht="15" thickBot="1" x14ac:dyDescent="0.4">
      <c r="A16" s="8">
        <v>139.47999999999999</v>
      </c>
      <c r="B16" s="14"/>
      <c r="D16" t="s">
        <v>44</v>
      </c>
      <c r="E16" t="s">
        <v>110</v>
      </c>
      <c r="F16" t="s">
        <v>14</v>
      </c>
      <c r="H16" s="7">
        <v>61833</v>
      </c>
      <c r="I16" s="7">
        <f t="shared" si="0"/>
        <v>-61833</v>
      </c>
      <c r="J16" s="3"/>
      <c r="N16" s="17">
        <f>SUM(N12:N15)</f>
        <v>105500</v>
      </c>
      <c r="R16" t="e">
        <f>#REF!*2</f>
        <v>#REF!</v>
      </c>
    </row>
    <row r="17" spans="1:28" ht="15" thickTop="1" x14ac:dyDescent="0.35">
      <c r="A17" s="15"/>
      <c r="B17" s="15"/>
      <c r="C17" s="14">
        <v>0.67</v>
      </c>
      <c r="D17" t="s">
        <v>123</v>
      </c>
      <c r="E17" t="s">
        <v>48</v>
      </c>
      <c r="F17" t="s">
        <v>14</v>
      </c>
      <c r="G17">
        <v>107.69</v>
      </c>
      <c r="H17" s="7">
        <v>22180</v>
      </c>
      <c r="I17" s="7">
        <f t="shared" si="0"/>
        <v>-22072.31</v>
      </c>
      <c r="J17" s="3"/>
      <c r="K17" s="3" t="s">
        <v>104</v>
      </c>
      <c r="L17" s="8"/>
      <c r="N17" s="7"/>
      <c r="R17" t="e">
        <f>R15-R16</f>
        <v>#REF!</v>
      </c>
      <c r="Y17">
        <f>SUM(A17:A19)</f>
        <v>0</v>
      </c>
      <c r="Z17">
        <f>Y17*W4</f>
        <v>0</v>
      </c>
    </row>
    <row r="18" spans="1:28" x14ac:dyDescent="0.35">
      <c r="A18" s="15"/>
      <c r="B18" s="15"/>
      <c r="D18" t="s">
        <v>50</v>
      </c>
      <c r="E18" t="s">
        <v>110</v>
      </c>
      <c r="F18" t="s">
        <v>14</v>
      </c>
      <c r="H18" s="7">
        <v>216484</v>
      </c>
      <c r="I18" s="7">
        <f t="shared" si="0"/>
        <v>-216484</v>
      </c>
      <c r="J18" s="3"/>
      <c r="K18" s="8" t="s">
        <v>37</v>
      </c>
      <c r="L18" s="8" t="s">
        <v>38</v>
      </c>
      <c r="M18" t="s">
        <v>129</v>
      </c>
      <c r="N18" s="7">
        <f>38000+1500+2500+3317</f>
        <v>45317</v>
      </c>
    </row>
    <row r="19" spans="1:28" x14ac:dyDescent="0.35">
      <c r="A19" s="15"/>
      <c r="B19" s="15"/>
      <c r="D19" t="s">
        <v>133</v>
      </c>
      <c r="G19" s="7">
        <v>328584</v>
      </c>
      <c r="I19" s="7">
        <f t="shared" si="0"/>
        <v>328584</v>
      </c>
      <c r="J19" s="3"/>
      <c r="K19" s="8" t="s">
        <v>37</v>
      </c>
      <c r="L19" s="8" t="s">
        <v>43</v>
      </c>
      <c r="M19" t="s">
        <v>130</v>
      </c>
      <c r="N19" s="7">
        <f>38000+1500+2500+2500+4000</f>
        <v>48500</v>
      </c>
      <c r="O19">
        <v>73707</v>
      </c>
    </row>
    <row r="20" spans="1:28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18"/>
      <c r="J20" s="3"/>
      <c r="K20" s="8" t="s">
        <v>46</v>
      </c>
      <c r="N20" s="17">
        <f>SUM(N18:N19)</f>
        <v>93817</v>
      </c>
      <c r="O20" s="19">
        <v>42156</v>
      </c>
      <c r="Q20">
        <v>37666</v>
      </c>
      <c r="X20">
        <f>388*70/1.43</f>
        <v>18993.006993006995</v>
      </c>
    </row>
    <row r="21" spans="1:28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8"/>
      <c r="J21" s="14"/>
      <c r="K21" s="14" t="s">
        <v>51</v>
      </c>
      <c r="L21" s="14" t="s">
        <v>52</v>
      </c>
      <c r="M21" s="14"/>
      <c r="N21" s="14"/>
      <c r="O21" s="19">
        <v>41791</v>
      </c>
      <c r="Q21">
        <v>35143</v>
      </c>
    </row>
    <row r="22" spans="1:28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8"/>
      <c r="J22" s="14"/>
      <c r="K22" s="14" t="s">
        <v>51</v>
      </c>
      <c r="L22" s="20" t="s">
        <v>53</v>
      </c>
      <c r="M22" s="14"/>
      <c r="N22" s="14"/>
      <c r="O22" s="19">
        <v>42583</v>
      </c>
    </row>
    <row r="23" spans="1:28" x14ac:dyDescent="0.35">
      <c r="K23" s="14" t="s">
        <v>51</v>
      </c>
      <c r="L23" s="21" t="s">
        <v>54</v>
      </c>
      <c r="M23" s="14"/>
      <c r="N23" s="14"/>
    </row>
    <row r="24" spans="1:28" ht="15" thickBot="1" x14ac:dyDescent="0.4">
      <c r="N24" s="17">
        <f>SUM(N21:N23)</f>
        <v>0</v>
      </c>
    </row>
    <row r="25" spans="1:28" ht="15.5" thickTop="1" thickBot="1" x14ac:dyDescent="0.4">
      <c r="D25" s="3" t="s">
        <v>46</v>
      </c>
      <c r="G25" s="22">
        <f>SUM(G4:G24)</f>
        <v>628422.68999999994</v>
      </c>
      <c r="H25" s="22">
        <f>SUM(H4:H24)</f>
        <v>583499</v>
      </c>
      <c r="I25" s="4"/>
      <c r="J25" s="7">
        <f>G25-H25</f>
        <v>44923.689999999944</v>
      </c>
      <c r="AA25">
        <v>1155</v>
      </c>
    </row>
    <row r="26" spans="1:28" ht="15" thickTop="1" x14ac:dyDescent="0.35">
      <c r="N26" s="7">
        <f>N10+N20+N16</f>
        <v>250317</v>
      </c>
      <c r="R26">
        <v>900</v>
      </c>
      <c r="AA26">
        <v>80.13</v>
      </c>
    </row>
    <row r="27" spans="1:28" ht="15" thickBot="1" x14ac:dyDescent="0.4">
      <c r="D27" s="8" t="s">
        <v>55</v>
      </c>
      <c r="G27" s="22"/>
      <c r="H27" s="22"/>
      <c r="I27" s="4"/>
      <c r="L27">
        <v>77</v>
      </c>
      <c r="AB27">
        <f>AA26*AA25</f>
        <v>92550.15</v>
      </c>
    </row>
    <row r="28" spans="1:28" ht="15" thickTop="1" x14ac:dyDescent="0.35">
      <c r="D28" s="3" t="s">
        <v>56</v>
      </c>
      <c r="O28" s="8" t="s">
        <v>57</v>
      </c>
      <c r="P28" s="8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U28" s="23" t="s">
        <v>58</v>
      </c>
      <c r="AA28">
        <v>1.5</v>
      </c>
      <c r="AB28">
        <f>AB27/AA28</f>
        <v>61700.1</v>
      </c>
    </row>
    <row r="29" spans="1:28" x14ac:dyDescent="0.35">
      <c r="D29" s="8" t="s">
        <v>59</v>
      </c>
      <c r="E29" s="8" t="s">
        <v>60</v>
      </c>
      <c r="G29">
        <v>0</v>
      </c>
      <c r="P29">
        <v>2015</v>
      </c>
      <c r="Q29" s="24">
        <v>2016</v>
      </c>
      <c r="R29" s="24">
        <v>2017</v>
      </c>
      <c r="S29" s="24">
        <v>2018</v>
      </c>
      <c r="T29" s="24">
        <v>2019</v>
      </c>
      <c r="U29" s="24">
        <v>2020</v>
      </c>
      <c r="V29">
        <f>U29+1</f>
        <v>2021</v>
      </c>
    </row>
    <row r="30" spans="1:28" x14ac:dyDescent="0.35">
      <c r="D30" s="8" t="s">
        <v>61</v>
      </c>
      <c r="G30">
        <v>15000</v>
      </c>
      <c r="O30" t="s">
        <v>62</v>
      </c>
      <c r="P30">
        <v>164433.05128205128</v>
      </c>
      <c r="Q30" s="5">
        <v>248589.40162966101</v>
      </c>
      <c r="R30" s="5">
        <v>314989.18799999997</v>
      </c>
      <c r="S30" s="5">
        <v>335945</v>
      </c>
      <c r="T30" s="5">
        <v>336562</v>
      </c>
      <c r="U30" s="5">
        <v>374989.18799999997</v>
      </c>
    </row>
    <row r="31" spans="1:28" x14ac:dyDescent="0.35">
      <c r="D31" s="8" t="s">
        <v>63</v>
      </c>
      <c r="G31">
        <v>2000</v>
      </c>
      <c r="P31" s="7">
        <v>0</v>
      </c>
      <c r="Q31" s="5">
        <v>0</v>
      </c>
      <c r="R31" s="5"/>
      <c r="S31" s="5"/>
      <c r="T31" s="5">
        <v>30000</v>
      </c>
      <c r="U31" s="5">
        <v>7000</v>
      </c>
    </row>
    <row r="32" spans="1:28" ht="15" thickBot="1" x14ac:dyDescent="0.4">
      <c r="G32" s="25">
        <f>SUM(G29:G31)</f>
        <v>17000</v>
      </c>
      <c r="O32" t="s">
        <v>64</v>
      </c>
      <c r="P32" s="7">
        <v>29028</v>
      </c>
      <c r="Q32" s="24"/>
      <c r="R32" s="5"/>
      <c r="S32" s="5"/>
      <c r="T32" s="5"/>
      <c r="U32" s="5"/>
    </row>
    <row r="33" spans="4:28" ht="15" thickTop="1" x14ac:dyDescent="0.35">
      <c r="O33" t="s">
        <v>46</v>
      </c>
      <c r="P33" s="7">
        <v>193461.05128205128</v>
      </c>
      <c r="Q33" s="5">
        <v>248589.40162966101</v>
      </c>
      <c r="R33" s="5">
        <v>314989.18799999997</v>
      </c>
      <c r="S33" s="5">
        <v>335945</v>
      </c>
      <c r="T33" s="5">
        <v>374989.18799999997</v>
      </c>
      <c r="U33" s="5">
        <v>381989.18799999997</v>
      </c>
    </row>
    <row r="34" spans="4:28" x14ac:dyDescent="0.35">
      <c r="D34" s="8" t="s">
        <v>65</v>
      </c>
      <c r="Q34" s="7">
        <v>55128.350347609725</v>
      </c>
      <c r="R34" s="7">
        <v>66399.786370338959</v>
      </c>
      <c r="S34" s="7">
        <f>S33-R33</f>
        <v>20955.812000000034</v>
      </c>
    </row>
    <row r="36" spans="4:28" ht="15" thickBot="1" x14ac:dyDescent="0.4">
      <c r="D36" s="8" t="s">
        <v>66</v>
      </c>
      <c r="G36" s="17">
        <f>G27+G32-G34</f>
        <v>17000</v>
      </c>
      <c r="O36" t="s">
        <v>67</v>
      </c>
      <c r="Q36" s="26">
        <v>282432.88663898304</v>
      </c>
      <c r="R36" s="7">
        <v>33843.48500932203</v>
      </c>
      <c r="S36" s="7">
        <v>8687</v>
      </c>
      <c r="T36" s="7">
        <v>120736</v>
      </c>
      <c r="AA36" t="s">
        <v>68</v>
      </c>
      <c r="AB36">
        <v>1500</v>
      </c>
    </row>
    <row r="37" spans="4:28" ht="15" thickTop="1" x14ac:dyDescent="0.35">
      <c r="O37" t="s">
        <v>42</v>
      </c>
      <c r="Q37" s="26">
        <v>294892.69565217395</v>
      </c>
      <c r="R37" s="7">
        <v>12459.809013190912</v>
      </c>
      <c r="S37" s="7">
        <v>5697</v>
      </c>
      <c r="T37" s="7">
        <v>43735</v>
      </c>
    </row>
    <row r="38" spans="4:28" ht="15" thickBot="1" x14ac:dyDescent="0.4">
      <c r="D38" s="8" t="s">
        <v>69</v>
      </c>
      <c r="G38" s="17">
        <f>N26</f>
        <v>250317</v>
      </c>
      <c r="O38" t="s">
        <v>41</v>
      </c>
      <c r="Q38" s="26">
        <v>310690.6944444445</v>
      </c>
      <c r="R38" s="7">
        <v>15797.998792270548</v>
      </c>
      <c r="S38" s="7">
        <v>37050</v>
      </c>
      <c r="T38" s="7">
        <v>-7000</v>
      </c>
    </row>
    <row r="39" spans="4:28" ht="15" thickTop="1" x14ac:dyDescent="0.35">
      <c r="O39" t="s">
        <v>70</v>
      </c>
      <c r="Q39" s="27">
        <v>314989.18799999997</v>
      </c>
      <c r="R39" s="7">
        <v>4298.4935555554694</v>
      </c>
      <c r="S39" s="7">
        <v>-31361</v>
      </c>
      <c r="T39" s="7">
        <v>11634</v>
      </c>
    </row>
    <row r="40" spans="4:28" x14ac:dyDescent="0.35">
      <c r="D40" s="8" t="s">
        <v>37</v>
      </c>
      <c r="G40">
        <v>360000</v>
      </c>
      <c r="R40" s="7">
        <v>66399.786370338959</v>
      </c>
      <c r="S40" s="7">
        <f>SUM(S36:S39)</f>
        <v>20073</v>
      </c>
      <c r="T40" s="7">
        <f>SUM(T36:T39)</f>
        <v>169105</v>
      </c>
    </row>
    <row r="41" spans="4:28" ht="15" thickBot="1" x14ac:dyDescent="0.4">
      <c r="D41" s="8" t="s">
        <v>71</v>
      </c>
      <c r="G41" s="25">
        <f>G40</f>
        <v>360000</v>
      </c>
    </row>
    <row r="42" spans="4:28" ht="15" thickTop="1" x14ac:dyDescent="0.35">
      <c r="O42" s="8" t="s">
        <v>72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AA42" t="s">
        <v>73</v>
      </c>
    </row>
    <row r="43" spans="4:28" x14ac:dyDescent="0.35">
      <c r="D43" s="8" t="s">
        <v>74</v>
      </c>
      <c r="G43" s="7">
        <f>G41+G38+G36</f>
        <v>627317</v>
      </c>
      <c r="P43">
        <v>2015</v>
      </c>
      <c r="Q43">
        <v>2016</v>
      </c>
      <c r="R43">
        <v>2017</v>
      </c>
      <c r="S43">
        <v>2018</v>
      </c>
      <c r="T43">
        <v>2019</v>
      </c>
      <c r="U43">
        <v>2020</v>
      </c>
      <c r="AA43" t="s">
        <v>75</v>
      </c>
      <c r="AB43" t="s">
        <v>76</v>
      </c>
    </row>
    <row r="44" spans="4:28" x14ac:dyDescent="0.35">
      <c r="O44" t="s">
        <v>77</v>
      </c>
      <c r="P44" s="7">
        <v>105896.15384615386</v>
      </c>
      <c r="Q44" s="7">
        <v>163396.15384615387</v>
      </c>
      <c r="R44" s="7">
        <v>193396.15384615387</v>
      </c>
      <c r="S44" s="7">
        <v>223396.15384615387</v>
      </c>
      <c r="T44" s="7">
        <v>253396.15384615387</v>
      </c>
      <c r="U44" s="7">
        <v>283396.15384615387</v>
      </c>
    </row>
    <row r="45" spans="4:28" x14ac:dyDescent="0.35">
      <c r="O45" s="8" t="s">
        <v>78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  <c r="U45" s="7">
        <v>30000</v>
      </c>
    </row>
    <row r="46" spans="4:28" x14ac:dyDescent="0.35">
      <c r="O46" t="s">
        <v>79</v>
      </c>
      <c r="P46" s="7">
        <v>27500.000000000004</v>
      </c>
      <c r="Q46" s="7"/>
      <c r="R46" s="7"/>
      <c r="S46" s="7"/>
      <c r="T46" s="7"/>
      <c r="U46" s="7"/>
    </row>
    <row r="47" spans="4:28" x14ac:dyDescent="0.35">
      <c r="O47" t="s">
        <v>46</v>
      </c>
      <c r="P47" s="7">
        <v>163396.15384615387</v>
      </c>
      <c r="Q47" s="7">
        <v>193396.15384615387</v>
      </c>
      <c r="R47" s="7">
        <v>223396.15384615387</v>
      </c>
      <c r="S47" s="7">
        <v>253396.15384615387</v>
      </c>
      <c r="T47" s="7">
        <v>283396.15384615387</v>
      </c>
      <c r="U47" s="7">
        <v>313396.15384615387</v>
      </c>
    </row>
    <row r="48" spans="4:28" x14ac:dyDescent="0.35">
      <c r="U48" s="7">
        <f>U47-Q33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10E7-B840-4273-9647-9A6C19522B69}">
  <dimension ref="A1:AG53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45504</v>
      </c>
      <c r="H3" s="32">
        <v>45471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42012+25064</f>
        <v>67076</v>
      </c>
      <c r="H4">
        <f>42250+25212</f>
        <v>67462</v>
      </c>
      <c r="I4" s="7">
        <f>G4-H4</f>
        <v>-386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>
        <f>37927+25064</f>
        <v>62991</v>
      </c>
      <c r="H5">
        <f>38132+25213</f>
        <v>63345</v>
      </c>
      <c r="I5" s="7">
        <f t="shared" ref="I5:I19" si="0">G5-H5</f>
        <v>-354</v>
      </c>
      <c r="J5" s="3"/>
      <c r="K5" t="s">
        <v>15</v>
      </c>
      <c r="N5" s="7">
        <v>22000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G6">
        <v>11103</v>
      </c>
      <c r="H6">
        <v>11458</v>
      </c>
      <c r="I6" s="7">
        <f t="shared" si="0"/>
        <v>-355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25</v>
      </c>
      <c r="G7">
        <v>0</v>
      </c>
      <c r="H7">
        <v>0</v>
      </c>
      <c r="I7" s="7">
        <f t="shared" si="0"/>
        <v>0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G8" s="7">
        <v>5778</v>
      </c>
      <c r="H8" s="7">
        <v>5753</v>
      </c>
      <c r="I8" s="7">
        <f t="shared" si="0"/>
        <v>25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G9" s="7">
        <v>48243</v>
      </c>
      <c r="H9" s="7">
        <v>47285</v>
      </c>
      <c r="I9" s="7">
        <f t="shared" si="0"/>
        <v>958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G10" s="7">
        <v>15275</v>
      </c>
      <c r="H10" s="7">
        <v>14753</v>
      </c>
      <c r="I10" s="7">
        <f t="shared" si="0"/>
        <v>522</v>
      </c>
      <c r="J10" s="3"/>
      <c r="N10" s="17">
        <f>SUM(N5:N9)</f>
        <v>51000</v>
      </c>
      <c r="O10" s="8"/>
    </row>
    <row r="11" spans="1:33" ht="15" thickTop="1" x14ac:dyDescent="0.35">
      <c r="D11" s="8" t="s">
        <v>31</v>
      </c>
      <c r="E11" t="s">
        <v>32</v>
      </c>
      <c r="G11" s="7">
        <v>15000</v>
      </c>
      <c r="H11" s="7">
        <v>22000</v>
      </c>
      <c r="I11" s="7">
        <f t="shared" si="0"/>
        <v>-7000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t="s">
        <v>35</v>
      </c>
      <c r="E12" t="s">
        <v>36</v>
      </c>
      <c r="F12" t="s">
        <v>11</v>
      </c>
      <c r="G12" s="7">
        <v>41175</v>
      </c>
      <c r="H12" s="7">
        <v>41025</v>
      </c>
      <c r="I12" s="7">
        <f t="shared" si="0"/>
        <v>150</v>
      </c>
      <c r="J12" s="3" t="s">
        <v>11</v>
      </c>
      <c r="K12" t="s">
        <v>124</v>
      </c>
      <c r="N12">
        <v>85500</v>
      </c>
      <c r="O12" s="8"/>
      <c r="P12" s="12"/>
      <c r="S12">
        <f>14514*2</f>
        <v>29028</v>
      </c>
      <c r="AF12" t="s">
        <v>34</v>
      </c>
      <c r="AG12">
        <v>40000</v>
      </c>
    </row>
    <row r="13" spans="1:33" x14ac:dyDescent="0.35">
      <c r="D13" s="42" t="s">
        <v>35</v>
      </c>
      <c r="E13" s="42" t="s">
        <v>36</v>
      </c>
      <c r="F13" s="42" t="s">
        <v>39</v>
      </c>
      <c r="G13" s="7">
        <v>0</v>
      </c>
      <c r="H13" s="7"/>
      <c r="I13" s="7">
        <f t="shared" si="0"/>
        <v>0</v>
      </c>
      <c r="J13" s="3"/>
      <c r="K13" s="8" t="s">
        <v>14</v>
      </c>
      <c r="N13">
        <v>9000</v>
      </c>
      <c r="O13" s="8"/>
      <c r="AG13">
        <f>SUM(AG5:AG12)</f>
        <v>225000</v>
      </c>
    </row>
    <row r="14" spans="1:33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7">
        <f t="shared" si="0"/>
        <v>0</v>
      </c>
      <c r="J14" s="3"/>
      <c r="K14" s="8" t="s">
        <v>122</v>
      </c>
      <c r="O14" s="8"/>
    </row>
    <row r="15" spans="1:33" x14ac:dyDescent="0.35">
      <c r="C15">
        <v>105.06</v>
      </c>
      <c r="D15" t="s">
        <v>35</v>
      </c>
      <c r="E15" t="s">
        <v>36</v>
      </c>
      <c r="F15" t="s">
        <v>14</v>
      </c>
      <c r="G15" s="7">
        <v>25800</v>
      </c>
      <c r="H15" s="7">
        <v>25650</v>
      </c>
      <c r="I15" s="7">
        <f t="shared" si="0"/>
        <v>150</v>
      </c>
      <c r="J15" s="3"/>
      <c r="K15" s="8" t="s">
        <v>114</v>
      </c>
      <c r="N15">
        <v>11000</v>
      </c>
      <c r="R15">
        <v>81287</v>
      </c>
    </row>
    <row r="16" spans="1:33" ht="15" thickBot="1" x14ac:dyDescent="0.4">
      <c r="A16" s="8">
        <v>139.47999999999999</v>
      </c>
      <c r="B16" s="14"/>
      <c r="D16" t="s">
        <v>44</v>
      </c>
      <c r="E16" t="s">
        <v>110</v>
      </c>
      <c r="F16" t="s">
        <v>14</v>
      </c>
      <c r="G16" s="7">
        <v>0</v>
      </c>
      <c r="I16" s="7">
        <f t="shared" si="0"/>
        <v>0</v>
      </c>
      <c r="J16" s="3"/>
      <c r="N16" s="17">
        <f>SUM(N12:N15)</f>
        <v>105500</v>
      </c>
      <c r="R16" t="e">
        <f>#REF!*2</f>
        <v>#REF!</v>
      </c>
    </row>
    <row r="17" spans="1:28" ht="15" thickTop="1" x14ac:dyDescent="0.35">
      <c r="A17" s="15"/>
      <c r="B17" s="15"/>
      <c r="C17" s="14">
        <v>0.67</v>
      </c>
      <c r="D17" t="s">
        <v>123</v>
      </c>
      <c r="E17" t="s">
        <v>48</v>
      </c>
      <c r="F17" t="s">
        <v>14</v>
      </c>
      <c r="G17" s="7">
        <v>110.39</v>
      </c>
      <c r="H17">
        <v>107.69</v>
      </c>
      <c r="I17" s="7">
        <f t="shared" si="0"/>
        <v>2.7000000000000028</v>
      </c>
      <c r="J17" s="3"/>
      <c r="K17" s="3" t="s">
        <v>104</v>
      </c>
      <c r="L17" s="8"/>
      <c r="N17" s="7"/>
      <c r="R17" t="e">
        <f>R15-R16</f>
        <v>#REF!</v>
      </c>
      <c r="Y17">
        <f>SUM(A17:A19)</f>
        <v>0</v>
      </c>
      <c r="Z17">
        <f>Y17*W4</f>
        <v>0</v>
      </c>
    </row>
    <row r="18" spans="1:28" x14ac:dyDescent="0.35">
      <c r="A18" s="15"/>
      <c r="B18" s="15"/>
      <c r="C18">
        <v>10.52</v>
      </c>
      <c r="D18" t="s">
        <v>50</v>
      </c>
      <c r="E18" t="s">
        <v>110</v>
      </c>
      <c r="F18" t="s">
        <v>14</v>
      </c>
      <c r="G18" s="7">
        <v>1729</v>
      </c>
      <c r="I18" s="7">
        <f t="shared" si="0"/>
        <v>1729</v>
      </c>
      <c r="J18" s="3"/>
      <c r="K18" s="8" t="s">
        <v>37</v>
      </c>
      <c r="L18" s="8" t="s">
        <v>38</v>
      </c>
      <c r="M18" t="s">
        <v>129</v>
      </c>
      <c r="N18" s="7">
        <f>38000+1500+2500+3317</f>
        <v>45317</v>
      </c>
    </row>
    <row r="19" spans="1:28" x14ac:dyDescent="0.35">
      <c r="A19" s="15"/>
      <c r="B19" s="15"/>
      <c r="C19">
        <v>2045</v>
      </c>
      <c r="D19" t="s">
        <v>131</v>
      </c>
      <c r="F19" t="s">
        <v>14</v>
      </c>
      <c r="G19" s="7">
        <v>335709</v>
      </c>
      <c r="H19" s="7">
        <v>328584</v>
      </c>
      <c r="I19" s="7">
        <f t="shared" si="0"/>
        <v>7125</v>
      </c>
      <c r="J19" s="3"/>
      <c r="K19" s="8" t="s">
        <v>37</v>
      </c>
      <c r="L19" s="8" t="s">
        <v>43</v>
      </c>
      <c r="M19" t="s">
        <v>130</v>
      </c>
      <c r="N19" s="7">
        <f>38000+1500+2500+2500+4000</f>
        <v>48500</v>
      </c>
      <c r="O19">
        <v>73707</v>
      </c>
    </row>
    <row r="20" spans="1:28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18"/>
      <c r="J20" s="3"/>
      <c r="K20" s="8" t="s">
        <v>46</v>
      </c>
      <c r="N20" s="17">
        <f>SUM(N18:N19)</f>
        <v>93817</v>
      </c>
      <c r="O20" s="19">
        <v>42156</v>
      </c>
      <c r="Q20">
        <v>37666</v>
      </c>
      <c r="X20">
        <f>388*70/1.43</f>
        <v>18993.006993006995</v>
      </c>
    </row>
    <row r="21" spans="1:28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8"/>
      <c r="J21" s="14"/>
      <c r="K21" s="14" t="s">
        <v>51</v>
      </c>
      <c r="L21" s="14" t="s">
        <v>52</v>
      </c>
      <c r="M21" s="14"/>
      <c r="N21" s="14"/>
      <c r="O21" s="19">
        <v>41791</v>
      </c>
      <c r="Q21">
        <v>35143</v>
      </c>
    </row>
    <row r="22" spans="1:28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8"/>
      <c r="J22" s="14"/>
      <c r="K22" s="14" t="s">
        <v>51</v>
      </c>
      <c r="L22" s="20" t="s">
        <v>53</v>
      </c>
      <c r="M22" s="14"/>
      <c r="N22" s="14"/>
      <c r="O22" s="19">
        <v>42583</v>
      </c>
    </row>
    <row r="23" spans="1:28" x14ac:dyDescent="0.35">
      <c r="K23" s="14" t="s">
        <v>51</v>
      </c>
      <c r="L23" s="21" t="s">
        <v>54</v>
      </c>
      <c r="M23" s="14"/>
      <c r="N23" s="14"/>
    </row>
    <row r="24" spans="1:28" ht="15" thickBot="1" x14ac:dyDescent="0.4">
      <c r="N24" s="17">
        <f>SUM(N21:N23)</f>
        <v>0</v>
      </c>
    </row>
    <row r="25" spans="1:28" ht="15.5" thickTop="1" thickBot="1" x14ac:dyDescent="0.4">
      <c r="D25" s="3" t="s">
        <v>46</v>
      </c>
      <c r="G25" s="22">
        <f>SUM(G4:G24)</f>
        <v>630989.39</v>
      </c>
      <c r="H25" s="22">
        <f>SUM(H4:H24)</f>
        <v>628422.68999999994</v>
      </c>
      <c r="I25" s="4"/>
      <c r="J25" s="7">
        <f>G25-H25</f>
        <v>2566.7000000000698</v>
      </c>
      <c r="AA25">
        <v>1155</v>
      </c>
    </row>
    <row r="26" spans="1:28" ht="15" thickTop="1" x14ac:dyDescent="0.35">
      <c r="N26" s="7">
        <f>N10+N20+N16</f>
        <v>250317</v>
      </c>
      <c r="R26">
        <v>900</v>
      </c>
      <c r="AA26">
        <v>80.13</v>
      </c>
    </row>
    <row r="27" spans="1:28" ht="15" thickBot="1" x14ac:dyDescent="0.4">
      <c r="D27" s="8" t="s">
        <v>55</v>
      </c>
      <c r="G27" s="22"/>
      <c r="H27" s="22"/>
      <c r="I27" s="4"/>
      <c r="L27">
        <v>77</v>
      </c>
      <c r="AB27">
        <f>AA26*AA25</f>
        <v>92550.15</v>
      </c>
    </row>
    <row r="28" spans="1:28" ht="15" thickTop="1" x14ac:dyDescent="0.35">
      <c r="D28" s="3" t="s">
        <v>56</v>
      </c>
      <c r="O28" s="8" t="s">
        <v>57</v>
      </c>
      <c r="P28" s="8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U28" s="23" t="s">
        <v>58</v>
      </c>
      <c r="AA28">
        <v>1.5</v>
      </c>
      <c r="AB28">
        <f>AB27/AA28</f>
        <v>61700.1</v>
      </c>
    </row>
    <row r="29" spans="1:28" x14ac:dyDescent="0.35">
      <c r="D29" s="8" t="s">
        <v>59</v>
      </c>
      <c r="E29" s="8" t="s">
        <v>60</v>
      </c>
      <c r="G29">
        <v>0</v>
      </c>
      <c r="P29">
        <v>2015</v>
      </c>
      <c r="Q29" s="24">
        <v>2016</v>
      </c>
      <c r="R29" s="24">
        <v>2017</v>
      </c>
      <c r="S29" s="24">
        <v>2018</v>
      </c>
      <c r="T29" s="24">
        <v>2019</v>
      </c>
      <c r="U29" s="24">
        <v>2020</v>
      </c>
      <c r="V29">
        <f>U29+1</f>
        <v>2021</v>
      </c>
    </row>
    <row r="30" spans="1:28" x14ac:dyDescent="0.35">
      <c r="D30" s="8" t="s">
        <v>61</v>
      </c>
      <c r="G30">
        <v>15000</v>
      </c>
      <c r="O30" t="s">
        <v>62</v>
      </c>
      <c r="P30">
        <v>164433.05128205128</v>
      </c>
      <c r="Q30" s="5">
        <v>248589.40162966101</v>
      </c>
      <c r="R30" s="5">
        <v>314989.18799999997</v>
      </c>
      <c r="S30" s="5">
        <v>335945</v>
      </c>
      <c r="T30" s="5">
        <v>336562</v>
      </c>
      <c r="U30" s="5">
        <v>374989.18799999997</v>
      </c>
    </row>
    <row r="31" spans="1:28" x14ac:dyDescent="0.35">
      <c r="D31" s="8" t="s">
        <v>63</v>
      </c>
      <c r="G31">
        <v>2000</v>
      </c>
      <c r="P31" s="7">
        <v>0</v>
      </c>
      <c r="Q31" s="5">
        <v>0</v>
      </c>
      <c r="R31" s="5"/>
      <c r="S31" s="5"/>
      <c r="T31" s="5">
        <v>30000</v>
      </c>
      <c r="U31" s="5">
        <v>7000</v>
      </c>
    </row>
    <row r="32" spans="1:28" ht="15" thickBot="1" x14ac:dyDescent="0.4">
      <c r="G32" s="25">
        <f>SUM(G29:G31)</f>
        <v>17000</v>
      </c>
      <c r="O32" t="s">
        <v>64</v>
      </c>
      <c r="P32" s="7">
        <v>29028</v>
      </c>
      <c r="Q32" s="24"/>
      <c r="R32" s="5"/>
      <c r="S32" s="5"/>
      <c r="T32" s="5"/>
      <c r="U32" s="5"/>
    </row>
    <row r="33" spans="4:28" ht="15" thickTop="1" x14ac:dyDescent="0.35">
      <c r="O33" t="s">
        <v>46</v>
      </c>
      <c r="P33" s="7">
        <v>193461.05128205128</v>
      </c>
      <c r="Q33" s="5">
        <v>248589.40162966101</v>
      </c>
      <c r="R33" s="5">
        <v>314989.18799999997</v>
      </c>
      <c r="S33" s="5">
        <v>335945</v>
      </c>
      <c r="T33" s="5">
        <v>374989.18799999997</v>
      </c>
      <c r="U33" s="5">
        <v>381989.18799999997</v>
      </c>
    </row>
    <row r="34" spans="4:28" x14ac:dyDescent="0.35">
      <c r="D34" s="8" t="s">
        <v>65</v>
      </c>
      <c r="Q34" s="7">
        <v>55128.350347609725</v>
      </c>
      <c r="R34" s="7">
        <v>66399.786370338959</v>
      </c>
      <c r="S34" s="7">
        <f>S33-R33</f>
        <v>20955.812000000034</v>
      </c>
    </row>
    <row r="36" spans="4:28" ht="15" thickBot="1" x14ac:dyDescent="0.4">
      <c r="D36" s="8" t="s">
        <v>66</v>
      </c>
      <c r="G36" s="17">
        <f>G27+G32-G34</f>
        <v>17000</v>
      </c>
      <c r="O36" t="s">
        <v>67</v>
      </c>
      <c r="Q36" s="26">
        <v>282432.88663898304</v>
      </c>
      <c r="R36" s="7">
        <v>33843.48500932203</v>
      </c>
      <c r="S36" s="7">
        <v>8687</v>
      </c>
      <c r="T36" s="7">
        <v>120736</v>
      </c>
      <c r="AA36" t="s">
        <v>68</v>
      </c>
      <c r="AB36">
        <v>1500</v>
      </c>
    </row>
    <row r="37" spans="4:28" ht="15" thickTop="1" x14ac:dyDescent="0.35">
      <c r="O37" t="s">
        <v>42</v>
      </c>
      <c r="Q37" s="26">
        <v>294892.69565217395</v>
      </c>
      <c r="R37" s="7">
        <v>12459.809013190912</v>
      </c>
      <c r="S37" s="7">
        <v>5697</v>
      </c>
      <c r="T37" s="7">
        <v>43735</v>
      </c>
    </row>
    <row r="38" spans="4:28" ht="15" thickBot="1" x14ac:dyDescent="0.4">
      <c r="D38" s="8" t="s">
        <v>69</v>
      </c>
      <c r="G38" s="17">
        <f>N26</f>
        <v>250317</v>
      </c>
      <c r="O38" t="s">
        <v>41</v>
      </c>
      <c r="Q38" s="26">
        <v>310690.6944444445</v>
      </c>
      <c r="R38" s="7">
        <v>15797.998792270548</v>
      </c>
      <c r="S38" s="7">
        <v>37050</v>
      </c>
      <c r="T38" s="7">
        <v>-7000</v>
      </c>
    </row>
    <row r="39" spans="4:28" ht="15" thickTop="1" x14ac:dyDescent="0.35">
      <c r="O39" t="s">
        <v>70</v>
      </c>
      <c r="Q39" s="27">
        <v>314989.18799999997</v>
      </c>
      <c r="R39" s="7">
        <v>4298.4935555554694</v>
      </c>
      <c r="S39" s="7">
        <v>-31361</v>
      </c>
      <c r="T39" s="7">
        <v>11634</v>
      </c>
    </row>
    <row r="40" spans="4:28" x14ac:dyDescent="0.35">
      <c r="D40" s="8" t="s">
        <v>37</v>
      </c>
      <c r="G40">
        <v>360000</v>
      </c>
      <c r="R40" s="7">
        <v>66399.786370338959</v>
      </c>
      <c r="S40" s="7">
        <f>SUM(S36:S39)</f>
        <v>20073</v>
      </c>
      <c r="T40" s="7">
        <f>SUM(T36:T39)</f>
        <v>169105</v>
      </c>
    </row>
    <row r="41" spans="4:28" ht="15" thickBot="1" x14ac:dyDescent="0.4">
      <c r="D41" s="8" t="s">
        <v>71</v>
      </c>
      <c r="G41" s="25">
        <f>G40</f>
        <v>360000</v>
      </c>
    </row>
    <row r="42" spans="4:28" ht="15" thickTop="1" x14ac:dyDescent="0.35">
      <c r="O42" s="8" t="s">
        <v>72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AA42" t="s">
        <v>73</v>
      </c>
    </row>
    <row r="43" spans="4:28" x14ac:dyDescent="0.35">
      <c r="D43" s="8" t="s">
        <v>74</v>
      </c>
      <c r="G43" s="7">
        <f>G41+G38+G36</f>
        <v>627317</v>
      </c>
      <c r="P43">
        <v>2015</v>
      </c>
      <c r="Q43">
        <v>2016</v>
      </c>
      <c r="R43">
        <v>2017</v>
      </c>
      <c r="S43">
        <v>2018</v>
      </c>
      <c r="T43">
        <v>2019</v>
      </c>
      <c r="U43">
        <v>2020</v>
      </c>
      <c r="AA43" t="s">
        <v>75</v>
      </c>
      <c r="AB43" t="s">
        <v>76</v>
      </c>
    </row>
    <row r="44" spans="4:28" x14ac:dyDescent="0.35">
      <c r="O44" t="s">
        <v>77</v>
      </c>
      <c r="P44" s="7">
        <v>105896.15384615386</v>
      </c>
      <c r="Q44" s="7">
        <v>163396.15384615387</v>
      </c>
      <c r="R44" s="7">
        <v>193396.15384615387</v>
      </c>
      <c r="S44" s="7">
        <v>223396.15384615387</v>
      </c>
      <c r="T44" s="7">
        <v>253396.15384615387</v>
      </c>
      <c r="U44" s="7">
        <v>283396.15384615387</v>
      </c>
    </row>
    <row r="45" spans="4:28" x14ac:dyDescent="0.35">
      <c r="O45" s="8" t="s">
        <v>78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  <c r="U45" s="7">
        <v>30000</v>
      </c>
    </row>
    <row r="46" spans="4:28" x14ac:dyDescent="0.35">
      <c r="O46" t="s">
        <v>79</v>
      </c>
      <c r="P46" s="7">
        <v>27500.000000000004</v>
      </c>
      <c r="Q46" s="7"/>
      <c r="R46" s="7"/>
      <c r="S46" s="7"/>
      <c r="T46" s="7"/>
      <c r="U46" s="7"/>
    </row>
    <row r="47" spans="4:28" x14ac:dyDescent="0.35">
      <c r="O47" t="s">
        <v>46</v>
      </c>
      <c r="P47" s="7">
        <v>163396.15384615387</v>
      </c>
      <c r="Q47" s="7">
        <v>193396.15384615387</v>
      </c>
      <c r="R47" s="7">
        <v>223396.15384615387</v>
      </c>
      <c r="S47" s="7">
        <v>253396.15384615387</v>
      </c>
      <c r="T47" s="7">
        <v>283396.15384615387</v>
      </c>
      <c r="U47" s="7">
        <v>313396.15384615387</v>
      </c>
    </row>
    <row r="48" spans="4:28" x14ac:dyDescent="0.35">
      <c r="U48" s="7">
        <f>U47-Q33</f>
        <v>64806.752216492867</v>
      </c>
    </row>
    <row r="49" spans="8:8" x14ac:dyDescent="0.35">
      <c r="H49">
        <v>171</v>
      </c>
    </row>
    <row r="50" spans="8:8" x14ac:dyDescent="0.35">
      <c r="H50">
        <v>29</v>
      </c>
    </row>
    <row r="51" spans="8:8" x14ac:dyDescent="0.35">
      <c r="H51">
        <v>70</v>
      </c>
    </row>
    <row r="52" spans="8:8" x14ac:dyDescent="0.35">
      <c r="H52">
        <f>SUM(H49:H51)</f>
        <v>270</v>
      </c>
    </row>
    <row r="53" spans="8:8" x14ac:dyDescent="0.35">
      <c r="H53">
        <v>200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745D-2B68-4D30-BC2C-B205E7378F9C}">
  <dimension ref="A1:AG55"/>
  <sheetViews>
    <sheetView topLeftCell="C1" workbookViewId="0">
      <selection activeCell="C1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45535</v>
      </c>
      <c r="H3" s="32">
        <v>45504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>
        <f>42463+25357</f>
        <v>67820</v>
      </c>
      <c r="H4">
        <f>42012+25064</f>
        <v>67076</v>
      </c>
      <c r="I4" s="7" t="e">
        <f>H4-#REF!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>
        <f>38326+25357</f>
        <v>63683</v>
      </c>
      <c r="H5">
        <f>37927+25064</f>
        <v>62991</v>
      </c>
      <c r="I5" s="7" t="e">
        <f>H5-#REF!</f>
        <v>#REF!</v>
      </c>
      <c r="J5" s="3"/>
      <c r="K5" t="s">
        <v>15</v>
      </c>
      <c r="N5" s="7">
        <f>22000+5000</f>
        <v>27000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G6" s="7">
        <v>11292</v>
      </c>
      <c r="H6">
        <v>11103</v>
      </c>
      <c r="I6" s="7" t="e">
        <f>H6-#REF!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25</v>
      </c>
      <c r="G7" s="7"/>
      <c r="H7">
        <v>0</v>
      </c>
      <c r="I7" s="7" t="e">
        <f>H7-#REF!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G8" s="7">
        <v>5818</v>
      </c>
      <c r="H8" s="7">
        <v>5778</v>
      </c>
      <c r="I8" s="7" t="e">
        <f>H8-#REF!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G9" s="45">
        <v>43721</v>
      </c>
      <c r="H9" s="7">
        <v>48243</v>
      </c>
      <c r="I9" s="7" t="e">
        <f>H9-#REF!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G10" s="45">
        <v>13911</v>
      </c>
      <c r="H10" s="7">
        <v>15275</v>
      </c>
      <c r="I10" s="7" t="e">
        <f>H10-#REF!</f>
        <v>#REF!</v>
      </c>
      <c r="J10" s="3"/>
      <c r="N10" s="17">
        <f>SUM(N5:N9)</f>
        <v>56000</v>
      </c>
      <c r="O10" s="8"/>
    </row>
    <row r="11" spans="1:33" ht="15" thickTop="1" x14ac:dyDescent="0.35">
      <c r="D11" s="8" t="s">
        <v>31</v>
      </c>
      <c r="E11" t="s">
        <v>32</v>
      </c>
      <c r="G11" s="7"/>
      <c r="H11" s="7">
        <v>15000</v>
      </c>
      <c r="I11" s="7" t="e">
        <f>H11-#REF!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t="s">
        <v>35</v>
      </c>
      <c r="E12" t="s">
        <v>36</v>
      </c>
      <c r="F12" t="s">
        <v>11</v>
      </c>
      <c r="G12" s="7">
        <v>41175</v>
      </c>
      <c r="H12" s="7">
        <v>41175</v>
      </c>
      <c r="I12" s="7" t="e">
        <f>H12-#REF!</f>
        <v>#REF!</v>
      </c>
      <c r="J12" s="3" t="s">
        <v>11</v>
      </c>
      <c r="K12" t="s">
        <v>124</v>
      </c>
      <c r="N12">
        <v>85500</v>
      </c>
      <c r="O12" s="8"/>
      <c r="P12" s="12"/>
      <c r="S12">
        <f>14514*2</f>
        <v>29028</v>
      </c>
      <c r="AF12" t="s">
        <v>34</v>
      </c>
      <c r="AG12">
        <v>40000</v>
      </c>
    </row>
    <row r="13" spans="1:33" x14ac:dyDescent="0.35">
      <c r="D13" s="42" t="s">
        <v>35</v>
      </c>
      <c r="E13" s="42" t="s">
        <v>36</v>
      </c>
      <c r="F13" s="42" t="s">
        <v>39</v>
      </c>
      <c r="G13" s="7">
        <v>0</v>
      </c>
      <c r="H13" s="7">
        <v>0</v>
      </c>
      <c r="I13" s="7" t="e">
        <f>H13-#REF!</f>
        <v>#REF!</v>
      </c>
      <c r="J13" s="3"/>
      <c r="K13" s="8" t="s">
        <v>14</v>
      </c>
      <c r="N13">
        <v>9000</v>
      </c>
      <c r="O13" s="8"/>
      <c r="AG13">
        <f>SUM(AG5:AG12)</f>
        <v>225000</v>
      </c>
    </row>
    <row r="14" spans="1:33" x14ac:dyDescent="0.35">
      <c r="D14" t="s">
        <v>35</v>
      </c>
      <c r="E14" t="s">
        <v>36</v>
      </c>
      <c r="F14" t="s">
        <v>40</v>
      </c>
      <c r="G14" s="7">
        <v>1000</v>
      </c>
      <c r="H14" s="7">
        <v>1000</v>
      </c>
      <c r="I14" s="7" t="e">
        <f>H14-#REF!</f>
        <v>#REF!</v>
      </c>
      <c r="J14" s="3"/>
      <c r="K14" s="8" t="s">
        <v>122</v>
      </c>
      <c r="O14" s="8"/>
    </row>
    <row r="15" spans="1:33" x14ac:dyDescent="0.35">
      <c r="C15">
        <v>105.06</v>
      </c>
      <c r="D15" t="s">
        <v>35</v>
      </c>
      <c r="E15" t="s">
        <v>36</v>
      </c>
      <c r="F15" t="s">
        <v>14</v>
      </c>
      <c r="G15" s="7">
        <v>25800</v>
      </c>
      <c r="H15" s="7">
        <v>25800</v>
      </c>
      <c r="I15" s="7" t="e">
        <f>H15-#REF!</f>
        <v>#REF!</v>
      </c>
      <c r="J15" s="3"/>
      <c r="K15" s="8" t="s">
        <v>114</v>
      </c>
      <c r="N15">
        <v>11000</v>
      </c>
      <c r="R15">
        <v>81287</v>
      </c>
    </row>
    <row r="16" spans="1:33" ht="15" thickBot="1" x14ac:dyDescent="0.4">
      <c r="A16" s="8">
        <v>139.47999999999999</v>
      </c>
      <c r="B16" s="14"/>
      <c r="D16" t="s">
        <v>44</v>
      </c>
      <c r="E16" t="s">
        <v>110</v>
      </c>
      <c r="F16" t="s">
        <v>14</v>
      </c>
      <c r="G16" s="7">
        <v>0</v>
      </c>
      <c r="H16" s="7">
        <v>0</v>
      </c>
      <c r="I16" s="7" t="e">
        <f>H16-#REF!</f>
        <v>#REF!</v>
      </c>
      <c r="J16" s="3"/>
      <c r="N16" s="17">
        <f>SUM(N12:N15)</f>
        <v>105500</v>
      </c>
      <c r="R16" t="e">
        <f>#REF!*2</f>
        <v>#REF!</v>
      </c>
    </row>
    <row r="17" spans="1:28" ht="15" thickTop="1" x14ac:dyDescent="0.35">
      <c r="A17" s="15"/>
      <c r="B17" s="15"/>
      <c r="C17" s="14">
        <v>0.67</v>
      </c>
      <c r="D17" t="s">
        <v>123</v>
      </c>
      <c r="E17" t="s">
        <v>48</v>
      </c>
      <c r="F17" t="s">
        <v>14</v>
      </c>
      <c r="G17" s="7">
        <v>111</v>
      </c>
      <c r="H17" s="7">
        <v>110.39</v>
      </c>
      <c r="I17" s="7" t="e">
        <f>H17-#REF!</f>
        <v>#REF!</v>
      </c>
      <c r="J17" s="3"/>
      <c r="K17" s="3" t="s">
        <v>104</v>
      </c>
      <c r="L17" s="8"/>
      <c r="N17" s="7"/>
      <c r="R17" t="e">
        <f>R15-R16</f>
        <v>#REF!</v>
      </c>
      <c r="Y17">
        <f>SUM(A17:A19)</f>
        <v>0</v>
      </c>
      <c r="Z17">
        <f>Y17*W4</f>
        <v>0</v>
      </c>
    </row>
    <row r="18" spans="1:28" x14ac:dyDescent="0.35">
      <c r="A18" s="15"/>
      <c r="B18" s="15"/>
      <c r="C18">
        <v>10.52</v>
      </c>
      <c r="D18" t="s">
        <v>50</v>
      </c>
      <c r="E18" t="s">
        <v>110</v>
      </c>
      <c r="F18" t="s">
        <v>14</v>
      </c>
      <c r="G18" s="7">
        <v>3561</v>
      </c>
      <c r="H18" s="7">
        <v>1729</v>
      </c>
      <c r="I18" s="7" t="e">
        <f>H18-#REF!</f>
        <v>#REF!</v>
      </c>
      <c r="J18" s="3"/>
      <c r="K18" s="8" t="s">
        <v>37</v>
      </c>
      <c r="L18" s="8" t="s">
        <v>38</v>
      </c>
      <c r="M18" t="s">
        <v>129</v>
      </c>
      <c r="N18" s="7">
        <f>38000+1500+2500+3317</f>
        <v>45317</v>
      </c>
    </row>
    <row r="19" spans="1:28" x14ac:dyDescent="0.35">
      <c r="A19" s="15"/>
      <c r="B19" s="15"/>
      <c r="C19">
        <v>2045</v>
      </c>
      <c r="D19" t="s">
        <v>131</v>
      </c>
      <c r="F19" t="s">
        <v>14</v>
      </c>
      <c r="G19" s="7">
        <v>340243</v>
      </c>
      <c r="H19" s="7">
        <v>335709</v>
      </c>
      <c r="I19" s="7" t="e">
        <f>H19-#REF!</f>
        <v>#REF!</v>
      </c>
      <c r="J19" s="3"/>
      <c r="K19" s="8" t="s">
        <v>37</v>
      </c>
      <c r="L19" s="8" t="s">
        <v>43</v>
      </c>
      <c r="M19" t="s">
        <v>130</v>
      </c>
      <c r="N19" s="7">
        <f>38000+1500+2500+2500+4000</f>
        <v>48500</v>
      </c>
      <c r="O19">
        <v>73707</v>
      </c>
    </row>
    <row r="20" spans="1:28" ht="15" thickBot="1" x14ac:dyDescent="0.4">
      <c r="A20" s="14">
        <v>2011</v>
      </c>
      <c r="B20" s="14"/>
      <c r="C20" s="14">
        <v>99</v>
      </c>
      <c r="D20" s="14" t="s">
        <v>51</v>
      </c>
      <c r="E20" s="14" t="s">
        <v>52</v>
      </c>
      <c r="F20" s="14" t="s">
        <v>14</v>
      </c>
      <c r="G20" s="18"/>
      <c r="H20" s="18"/>
      <c r="I20" s="18"/>
      <c r="J20" s="3"/>
      <c r="K20" s="8" t="s">
        <v>46</v>
      </c>
      <c r="N20" s="17">
        <f>SUM(N18:N19)</f>
        <v>93817</v>
      </c>
      <c r="O20" s="19">
        <v>42156</v>
      </c>
      <c r="Q20">
        <v>37666</v>
      </c>
      <c r="X20">
        <f>388*70/1.43</f>
        <v>18993.006993006995</v>
      </c>
    </row>
    <row r="21" spans="1:28" ht="15" thickTop="1" x14ac:dyDescent="0.35">
      <c r="A21" s="14">
        <v>2012</v>
      </c>
      <c r="B21" s="14"/>
      <c r="C21" s="14">
        <v>96</v>
      </c>
      <c r="D21" s="14" t="s">
        <v>51</v>
      </c>
      <c r="E21" s="20" t="s">
        <v>53</v>
      </c>
      <c r="F21" s="14" t="s">
        <v>14</v>
      </c>
      <c r="G21" s="18"/>
      <c r="H21" s="18"/>
      <c r="I21" s="18"/>
      <c r="J21" s="14"/>
      <c r="K21" s="14" t="s">
        <v>51</v>
      </c>
      <c r="L21" s="14" t="s">
        <v>52</v>
      </c>
      <c r="M21" s="14"/>
      <c r="N21" s="14"/>
      <c r="O21" s="19">
        <v>41791</v>
      </c>
      <c r="Q21">
        <v>35143</v>
      </c>
    </row>
    <row r="22" spans="1:28" x14ac:dyDescent="0.35">
      <c r="A22" s="14">
        <v>2013</v>
      </c>
      <c r="B22" s="14"/>
      <c r="C22" s="14">
        <v>87</v>
      </c>
      <c r="D22" s="14" t="s">
        <v>51</v>
      </c>
      <c r="E22" s="21" t="s">
        <v>54</v>
      </c>
      <c r="F22" s="14" t="s">
        <v>14</v>
      </c>
      <c r="G22" s="18"/>
      <c r="H22" s="18"/>
      <c r="I22" s="18"/>
      <c r="J22" s="14"/>
      <c r="K22" s="14" t="s">
        <v>51</v>
      </c>
      <c r="L22" s="20" t="s">
        <v>53</v>
      </c>
      <c r="M22" s="14"/>
      <c r="N22" s="14"/>
      <c r="O22" s="19">
        <v>42583</v>
      </c>
    </row>
    <row r="23" spans="1:28" x14ac:dyDescent="0.35">
      <c r="J23">
        <v>33</v>
      </c>
      <c r="K23" s="14" t="s">
        <v>51</v>
      </c>
      <c r="L23" s="21" t="s">
        <v>54</v>
      </c>
      <c r="M23" s="14"/>
      <c r="N23" s="14"/>
    </row>
    <row r="24" spans="1:28" ht="15" thickBot="1" x14ac:dyDescent="0.4">
      <c r="N24" s="17">
        <f>SUM(N21:N23)</f>
        <v>0</v>
      </c>
    </row>
    <row r="25" spans="1:28" ht="15.5" thickTop="1" thickBot="1" x14ac:dyDescent="0.4">
      <c r="D25" s="3" t="s">
        <v>46</v>
      </c>
      <c r="G25" s="22">
        <f>SUM(G4:G24)</f>
        <v>618135</v>
      </c>
      <c r="H25" s="22">
        <f>SUM(H4:H24)</f>
        <v>630989.39</v>
      </c>
      <c r="I25" s="4"/>
      <c r="J25" s="7">
        <f>G25-H25</f>
        <v>-12854.390000000014</v>
      </c>
      <c r="AA25">
        <v>1155</v>
      </c>
    </row>
    <row r="26" spans="1:28" ht="15" thickTop="1" x14ac:dyDescent="0.35">
      <c r="N26" s="7">
        <f>N10+N20+N16</f>
        <v>255317</v>
      </c>
      <c r="R26">
        <v>900</v>
      </c>
      <c r="AA26">
        <v>80.13</v>
      </c>
    </row>
    <row r="27" spans="1:28" ht="15" thickBot="1" x14ac:dyDescent="0.4">
      <c r="D27" s="8" t="s">
        <v>55</v>
      </c>
      <c r="G27" s="22"/>
      <c r="H27" s="22"/>
      <c r="I27" s="4"/>
      <c r="L27">
        <v>77</v>
      </c>
      <c r="AB27">
        <f>AA26*AA25</f>
        <v>92550.15</v>
      </c>
    </row>
    <row r="28" spans="1:28" ht="15" thickTop="1" x14ac:dyDescent="0.35">
      <c r="D28" s="3" t="s">
        <v>56</v>
      </c>
      <c r="O28" s="8" t="s">
        <v>57</v>
      </c>
      <c r="P28" s="8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U28" s="23" t="s">
        <v>58</v>
      </c>
      <c r="AA28">
        <v>1.5</v>
      </c>
      <c r="AB28">
        <f>AB27/AA28</f>
        <v>61700.1</v>
      </c>
    </row>
    <row r="29" spans="1:28" x14ac:dyDescent="0.35">
      <c r="D29" s="8" t="s">
        <v>59</v>
      </c>
      <c r="E29" s="8" t="s">
        <v>60</v>
      </c>
      <c r="G29">
        <v>0</v>
      </c>
      <c r="P29">
        <v>2015</v>
      </c>
      <c r="Q29" s="24">
        <v>2016</v>
      </c>
      <c r="R29" s="24">
        <v>2017</v>
      </c>
      <c r="S29" s="24">
        <v>2018</v>
      </c>
      <c r="T29" s="24">
        <v>2019</v>
      </c>
      <c r="U29" s="24">
        <v>2020</v>
      </c>
      <c r="V29">
        <f>U29+1</f>
        <v>2021</v>
      </c>
    </row>
    <row r="30" spans="1:28" x14ac:dyDescent="0.35">
      <c r="D30" s="8" t="s">
        <v>61</v>
      </c>
      <c r="G30">
        <v>15000</v>
      </c>
      <c r="O30" t="s">
        <v>62</v>
      </c>
      <c r="P30">
        <v>164433.05128205128</v>
      </c>
      <c r="Q30" s="5">
        <v>248589.40162966101</v>
      </c>
      <c r="R30" s="5">
        <v>314989.18799999997</v>
      </c>
      <c r="S30" s="5">
        <v>335945</v>
      </c>
      <c r="T30" s="5">
        <v>336562</v>
      </c>
      <c r="U30" s="5">
        <v>374989.18799999997</v>
      </c>
    </row>
    <row r="31" spans="1:28" x14ac:dyDescent="0.35">
      <c r="D31" s="8" t="s">
        <v>63</v>
      </c>
      <c r="G31">
        <v>2000</v>
      </c>
      <c r="P31" s="7">
        <v>0</v>
      </c>
      <c r="Q31" s="5">
        <v>0</v>
      </c>
      <c r="R31" s="5"/>
      <c r="S31" s="5"/>
      <c r="T31" s="5">
        <v>30000</v>
      </c>
      <c r="U31" s="5">
        <v>7000</v>
      </c>
    </row>
    <row r="32" spans="1:28" ht="15" thickBot="1" x14ac:dyDescent="0.4">
      <c r="G32" s="25">
        <f>SUM(G29:G31)</f>
        <v>17000</v>
      </c>
      <c r="O32" t="s">
        <v>64</v>
      </c>
      <c r="P32" s="7">
        <v>29028</v>
      </c>
      <c r="Q32" s="24"/>
      <c r="R32" s="5"/>
      <c r="S32" s="5"/>
      <c r="T32" s="5"/>
      <c r="U32" s="5"/>
    </row>
    <row r="33" spans="4:28" ht="15" thickTop="1" x14ac:dyDescent="0.35">
      <c r="O33" t="s">
        <v>46</v>
      </c>
      <c r="P33" s="7">
        <v>193461.05128205128</v>
      </c>
      <c r="Q33" s="5">
        <v>248589.40162966101</v>
      </c>
      <c r="R33" s="5">
        <v>314989.18799999997</v>
      </c>
      <c r="S33" s="5">
        <v>335945</v>
      </c>
      <c r="T33" s="5">
        <v>374989.18799999997</v>
      </c>
      <c r="U33" s="5">
        <v>381989.18799999997</v>
      </c>
    </row>
    <row r="34" spans="4:28" x14ac:dyDescent="0.35">
      <c r="D34" s="8" t="s">
        <v>65</v>
      </c>
      <c r="Q34" s="7">
        <v>55128.350347609725</v>
      </c>
      <c r="R34" s="7">
        <v>66399.786370338959</v>
      </c>
      <c r="S34" s="7">
        <f>S33-R33</f>
        <v>20955.812000000034</v>
      </c>
    </row>
    <row r="36" spans="4:28" ht="15" thickBot="1" x14ac:dyDescent="0.4">
      <c r="D36" s="8" t="s">
        <v>66</v>
      </c>
      <c r="G36" s="17">
        <f>G27+G32-G34</f>
        <v>17000</v>
      </c>
      <c r="O36" t="s">
        <v>67</v>
      </c>
      <c r="Q36" s="26">
        <v>282432.88663898304</v>
      </c>
      <c r="R36" s="7">
        <v>33843.48500932203</v>
      </c>
      <c r="S36" s="7">
        <v>8687</v>
      </c>
      <c r="T36" s="7">
        <v>120736</v>
      </c>
      <c r="AA36" t="s">
        <v>68</v>
      </c>
      <c r="AB36">
        <v>1500</v>
      </c>
    </row>
    <row r="37" spans="4:28" ht="15" thickTop="1" x14ac:dyDescent="0.35">
      <c r="O37" t="s">
        <v>42</v>
      </c>
      <c r="Q37" s="26">
        <v>294892.69565217395</v>
      </c>
      <c r="R37" s="7">
        <v>12459.809013190912</v>
      </c>
      <c r="S37" s="7">
        <v>5697</v>
      </c>
      <c r="T37" s="7">
        <v>43735</v>
      </c>
    </row>
    <row r="38" spans="4:28" ht="15" thickBot="1" x14ac:dyDescent="0.4">
      <c r="D38" s="8" t="s">
        <v>69</v>
      </c>
      <c r="G38" s="17">
        <f>N26</f>
        <v>255317</v>
      </c>
      <c r="O38" t="s">
        <v>41</v>
      </c>
      <c r="Q38" s="26">
        <v>310690.6944444445</v>
      </c>
      <c r="R38" s="7">
        <v>15797.998792270548</v>
      </c>
      <c r="S38" s="7">
        <v>37050</v>
      </c>
      <c r="T38" s="7">
        <v>-7000</v>
      </c>
    </row>
    <row r="39" spans="4:28" ht="15" thickTop="1" x14ac:dyDescent="0.35">
      <c r="O39" t="s">
        <v>70</v>
      </c>
      <c r="Q39" s="27">
        <v>314989.18799999997</v>
      </c>
      <c r="R39" s="7">
        <v>4298.4935555554694</v>
      </c>
      <c r="S39" s="7">
        <v>-31361</v>
      </c>
      <c r="T39" s="7">
        <v>11634</v>
      </c>
    </row>
    <row r="40" spans="4:28" x14ac:dyDescent="0.35">
      <c r="D40" s="8" t="s">
        <v>37</v>
      </c>
      <c r="G40">
        <v>360000</v>
      </c>
      <c r="R40" s="7">
        <v>66399.786370338959</v>
      </c>
      <c r="S40" s="7">
        <f>SUM(S36:S39)</f>
        <v>20073</v>
      </c>
      <c r="T40" s="7">
        <f>SUM(T36:T39)</f>
        <v>169105</v>
      </c>
    </row>
    <row r="41" spans="4:28" ht="15" thickBot="1" x14ac:dyDescent="0.4">
      <c r="D41" s="8" t="s">
        <v>71</v>
      </c>
      <c r="G41" s="25">
        <f>G40</f>
        <v>360000</v>
      </c>
    </row>
    <row r="42" spans="4:28" ht="15" thickTop="1" x14ac:dyDescent="0.35">
      <c r="O42" s="8" t="s">
        <v>72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AA42" t="s">
        <v>73</v>
      </c>
    </row>
    <row r="43" spans="4:28" x14ac:dyDescent="0.35">
      <c r="D43" s="8" t="s">
        <v>74</v>
      </c>
      <c r="G43" s="7">
        <f>G41+G38+G36</f>
        <v>632317</v>
      </c>
      <c r="P43">
        <v>2015</v>
      </c>
      <c r="Q43">
        <v>2016</v>
      </c>
      <c r="R43">
        <v>2017</v>
      </c>
      <c r="S43">
        <v>2018</v>
      </c>
      <c r="T43">
        <v>2019</v>
      </c>
      <c r="U43">
        <v>2020</v>
      </c>
      <c r="AA43" t="s">
        <v>75</v>
      </c>
      <c r="AB43" t="s">
        <v>76</v>
      </c>
    </row>
    <row r="44" spans="4:28" x14ac:dyDescent="0.35">
      <c r="O44" t="s">
        <v>77</v>
      </c>
      <c r="P44" s="7">
        <v>105896.15384615386</v>
      </c>
      <c r="Q44" s="7">
        <v>163396.15384615387</v>
      </c>
      <c r="R44" s="7">
        <v>193396.15384615387</v>
      </c>
      <c r="S44" s="7">
        <v>223396.15384615387</v>
      </c>
      <c r="T44" s="7">
        <v>253396.15384615387</v>
      </c>
      <c r="U44" s="7">
        <v>283396.15384615387</v>
      </c>
    </row>
    <row r="45" spans="4:28" x14ac:dyDescent="0.35">
      <c r="O45" s="8" t="s">
        <v>78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  <c r="U45" s="7">
        <v>30000</v>
      </c>
    </row>
    <row r="46" spans="4:28" x14ac:dyDescent="0.35">
      <c r="O46" t="s">
        <v>79</v>
      </c>
      <c r="P46" s="7">
        <v>27500.000000000004</v>
      </c>
      <c r="Q46" s="7"/>
      <c r="R46" s="7"/>
      <c r="S46" s="7"/>
      <c r="T46" s="7"/>
      <c r="U46" s="7"/>
    </row>
    <row r="47" spans="4:28" x14ac:dyDescent="0.35">
      <c r="O47" t="s">
        <v>46</v>
      </c>
      <c r="P47" s="7">
        <v>163396.15384615387</v>
      </c>
      <c r="Q47" s="7">
        <v>193396.15384615387</v>
      </c>
      <c r="R47" s="7">
        <v>223396.15384615387</v>
      </c>
      <c r="S47" s="7">
        <v>253396.15384615387</v>
      </c>
      <c r="T47" s="7">
        <v>283396.15384615387</v>
      </c>
      <c r="U47" s="7">
        <v>313396.15384615387</v>
      </c>
    </row>
    <row r="48" spans="4:28" x14ac:dyDescent="0.35">
      <c r="U48" s="7">
        <f>U47-Q33</f>
        <v>64806.752216492867</v>
      </c>
    </row>
    <row r="49" spans="8:16" x14ac:dyDescent="0.35">
      <c r="H49">
        <v>171</v>
      </c>
    </row>
    <row r="50" spans="8:16" x14ac:dyDescent="0.35">
      <c r="H50">
        <v>29</v>
      </c>
      <c r="K50" s="36" t="s">
        <v>140</v>
      </c>
      <c r="L50" s="36" t="s">
        <v>139</v>
      </c>
      <c r="O50" t="s">
        <v>142</v>
      </c>
      <c r="P50" s="7">
        <v>1000</v>
      </c>
    </row>
    <row r="51" spans="8:16" x14ac:dyDescent="0.35">
      <c r="H51">
        <v>70</v>
      </c>
      <c r="K51" t="s">
        <v>137</v>
      </c>
      <c r="L51">
        <f>900/100*25</f>
        <v>225</v>
      </c>
      <c r="O51" t="s">
        <v>146</v>
      </c>
      <c r="P51" s="7">
        <f>2000/1.3</f>
        <v>1538.4615384615383</v>
      </c>
    </row>
    <row r="52" spans="8:16" x14ac:dyDescent="0.35">
      <c r="H52">
        <f>SUM(H49:H51)</f>
        <v>270</v>
      </c>
      <c r="K52" t="s">
        <v>141</v>
      </c>
      <c r="L52">
        <v>51</v>
      </c>
      <c r="O52" t="s">
        <v>143</v>
      </c>
      <c r="P52">
        <v>1000</v>
      </c>
    </row>
    <row r="53" spans="8:16" x14ac:dyDescent="0.35">
      <c r="H53">
        <v>200</v>
      </c>
      <c r="K53" t="s">
        <v>138</v>
      </c>
      <c r="L53">
        <v>15</v>
      </c>
      <c r="O53" t="s">
        <v>144</v>
      </c>
      <c r="P53" s="24">
        <v>1036</v>
      </c>
    </row>
    <row r="54" spans="8:16" x14ac:dyDescent="0.35">
      <c r="K54" t="s">
        <v>15</v>
      </c>
      <c r="L54">
        <f>22+15</f>
        <v>37</v>
      </c>
      <c r="O54" t="s">
        <v>145</v>
      </c>
      <c r="P54">
        <v>2000</v>
      </c>
    </row>
    <row r="55" spans="8:16" ht="15" thickBot="1" x14ac:dyDescent="0.4">
      <c r="K55" t="s">
        <v>46</v>
      </c>
      <c r="L55" s="47">
        <f>SUM(L51:L54)</f>
        <v>328</v>
      </c>
      <c r="P55" s="7">
        <f>SUM(P50:P54)</f>
        <v>6574.4615384615381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A985-EEFD-42BD-A36B-22F23FC755D3}">
  <dimension ref="A1:AG55"/>
  <sheetViews>
    <sheetView topLeftCell="A2" workbookViewId="0">
      <selection activeCell="G4" sqref="G4:G19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2.8164062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45565</v>
      </c>
      <c r="H3" s="32">
        <v>45535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42800+25542</f>
        <v>68342</v>
      </c>
      <c r="H4" s="7">
        <f>42463+25357</f>
        <v>67820</v>
      </c>
      <c r="I4" s="7" t="e">
        <f>H4-#REF!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25542+38603</f>
        <v>64145</v>
      </c>
      <c r="H5" s="7">
        <f>38326+25357</f>
        <v>63683</v>
      </c>
      <c r="I5" s="7" t="e">
        <f>H5-#REF!</f>
        <v>#REF!</v>
      </c>
      <c r="J5" s="3"/>
      <c r="K5" t="s">
        <v>15</v>
      </c>
      <c r="N5" s="7">
        <f>22000+5000+10000</f>
        <v>37000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G6" s="7">
        <v>11227</v>
      </c>
      <c r="H6" s="7">
        <v>11292</v>
      </c>
      <c r="I6" s="7" t="e">
        <f>H6-#REF!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G7" s="7">
        <v>10000</v>
      </c>
      <c r="H7" s="48"/>
      <c r="I7" s="7" t="e">
        <f>H7-#REF!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G8" s="7">
        <v>7095</v>
      </c>
      <c r="H8" s="7">
        <v>5818</v>
      </c>
      <c r="I8" s="7" t="e">
        <f>H8-#REF!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G9" s="45">
        <v>43850</v>
      </c>
      <c r="H9" s="45">
        <v>43721</v>
      </c>
      <c r="I9" s="7" t="e">
        <f>H9-#REF!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G10" s="45">
        <v>13818</v>
      </c>
      <c r="H10" s="45">
        <v>13911</v>
      </c>
      <c r="I10" s="7" t="e">
        <f>H10-#REF!</f>
        <v>#REF!</v>
      </c>
      <c r="J10" s="3"/>
      <c r="N10" s="17">
        <f>SUM(N5:N9)</f>
        <v>66000</v>
      </c>
      <c r="O10" s="8"/>
    </row>
    <row r="11" spans="1:33" ht="15" thickTop="1" x14ac:dyDescent="0.35">
      <c r="D11" s="8" t="s">
        <v>31</v>
      </c>
      <c r="E11" t="s">
        <v>32</v>
      </c>
      <c r="G11" s="7">
        <v>10000</v>
      </c>
      <c r="H11" s="7">
        <v>0</v>
      </c>
      <c r="I11" s="7" t="e">
        <f>H11-#REF!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t="s">
        <v>35</v>
      </c>
      <c r="E12" t="s">
        <v>36</v>
      </c>
      <c r="F12" t="s">
        <v>11</v>
      </c>
      <c r="G12" s="7">
        <f>H12+75</f>
        <v>41250</v>
      </c>
      <c r="H12" s="7">
        <v>41175</v>
      </c>
      <c r="I12" s="7" t="e">
        <f>H12-#REF!</f>
        <v>#REF!</v>
      </c>
      <c r="J12" s="3" t="s">
        <v>11</v>
      </c>
      <c r="K12" t="s">
        <v>124</v>
      </c>
      <c r="N12">
        <v>85500</v>
      </c>
      <c r="O12" s="8"/>
      <c r="P12" s="12"/>
      <c r="S12">
        <f>14514*2</f>
        <v>29028</v>
      </c>
      <c r="AF12" t="s">
        <v>34</v>
      </c>
      <c r="AG12">
        <v>40000</v>
      </c>
    </row>
    <row r="13" spans="1:33" x14ac:dyDescent="0.35">
      <c r="D13" t="s">
        <v>35</v>
      </c>
      <c r="E13" t="s">
        <v>36</v>
      </c>
      <c r="F13" t="s">
        <v>40</v>
      </c>
      <c r="G13" s="7">
        <f>H13</f>
        <v>1000</v>
      </c>
      <c r="H13" s="7">
        <v>1000</v>
      </c>
      <c r="I13" s="7" t="e">
        <f>#REF!-#REF!</f>
        <v>#REF!</v>
      </c>
      <c r="J13" s="3"/>
      <c r="K13" s="8" t="s">
        <v>14</v>
      </c>
      <c r="N13">
        <v>9000</v>
      </c>
      <c r="O13" s="8"/>
      <c r="AG13">
        <f>SUM(AG5:AG12)</f>
        <v>225000</v>
      </c>
    </row>
    <row r="14" spans="1:33" x14ac:dyDescent="0.35">
      <c r="C14">
        <v>105.06</v>
      </c>
      <c r="D14" t="s">
        <v>35</v>
      </c>
      <c r="E14" t="s">
        <v>36</v>
      </c>
      <c r="F14" t="s">
        <v>14</v>
      </c>
      <c r="G14" s="7">
        <f>(H14+100)-10000</f>
        <v>15900</v>
      </c>
      <c r="H14" s="7">
        <v>25800</v>
      </c>
      <c r="I14" s="7" t="e">
        <f>H13-#REF!</f>
        <v>#REF!</v>
      </c>
      <c r="J14" s="3"/>
      <c r="K14" s="8" t="s">
        <v>122</v>
      </c>
      <c r="O14" s="8"/>
    </row>
    <row r="15" spans="1:33" x14ac:dyDescent="0.35">
      <c r="C15">
        <v>2012</v>
      </c>
      <c r="D15" t="s">
        <v>131</v>
      </c>
      <c r="F15" t="s">
        <v>14</v>
      </c>
      <c r="G15" s="7">
        <v>342038</v>
      </c>
      <c r="H15" s="7">
        <v>340243</v>
      </c>
      <c r="I15" s="7" t="e">
        <f>H14-#REF!</f>
        <v>#REF!</v>
      </c>
      <c r="J15" s="3"/>
      <c r="K15" s="8" t="s">
        <v>114</v>
      </c>
      <c r="N15">
        <v>11000</v>
      </c>
      <c r="R15">
        <v>81287</v>
      </c>
    </row>
    <row r="16" spans="1:33" ht="15" thickBot="1" x14ac:dyDescent="0.4">
      <c r="A16" s="8">
        <v>139.47999999999999</v>
      </c>
      <c r="B16" s="14"/>
      <c r="D16" t="s">
        <v>44</v>
      </c>
      <c r="E16" t="s">
        <v>110</v>
      </c>
      <c r="F16" t="s">
        <v>14</v>
      </c>
      <c r="G16" s="48">
        <v>0</v>
      </c>
      <c r="H16" s="7">
        <v>0</v>
      </c>
      <c r="I16" s="7" t="e">
        <f>H16-#REF!</f>
        <v>#REF!</v>
      </c>
      <c r="J16" s="3"/>
      <c r="N16" s="17">
        <f>SUM(N12:N15)</f>
        <v>105500</v>
      </c>
      <c r="R16" t="e">
        <f>#REF!*2</f>
        <v>#REF!</v>
      </c>
    </row>
    <row r="17" spans="1:28" ht="15" thickTop="1" x14ac:dyDescent="0.35">
      <c r="A17" s="15"/>
      <c r="B17" s="15"/>
      <c r="C17" s="14">
        <v>0.67</v>
      </c>
      <c r="D17" t="s">
        <v>123</v>
      </c>
      <c r="E17" t="s">
        <v>48</v>
      </c>
      <c r="F17" t="s">
        <v>14</v>
      </c>
      <c r="G17" s="48">
        <v>0</v>
      </c>
      <c r="H17" s="7">
        <v>111</v>
      </c>
      <c r="I17" s="7" t="e">
        <f>H17-#REF!</f>
        <v>#REF!</v>
      </c>
      <c r="J17" s="3"/>
      <c r="K17" s="3" t="s">
        <v>104</v>
      </c>
      <c r="L17" s="8"/>
      <c r="N17" s="7"/>
      <c r="R17" t="e">
        <f>R15-R16</f>
        <v>#REF!</v>
      </c>
      <c r="Y17">
        <f>SUM(A17:A19)</f>
        <v>0</v>
      </c>
      <c r="Z17">
        <f>Y17*W4</f>
        <v>0</v>
      </c>
    </row>
    <row r="18" spans="1:28" x14ac:dyDescent="0.35">
      <c r="A18" s="15"/>
      <c r="B18" s="15"/>
      <c r="C18">
        <v>10.52</v>
      </c>
      <c r="D18" t="s">
        <v>50</v>
      </c>
      <c r="E18" t="s">
        <v>110</v>
      </c>
      <c r="F18" t="s">
        <v>14</v>
      </c>
      <c r="G18" s="48">
        <v>73.42</v>
      </c>
      <c r="H18" s="7">
        <v>3561</v>
      </c>
      <c r="I18" s="7" t="e">
        <f>H18-#REF!</f>
        <v>#REF!</v>
      </c>
      <c r="J18" s="3"/>
      <c r="K18" s="8" t="s">
        <v>37</v>
      </c>
      <c r="L18" s="8" t="s">
        <v>38</v>
      </c>
      <c r="M18" t="s">
        <v>129</v>
      </c>
      <c r="N18" s="7">
        <f>38000+1500+2500+3317</f>
        <v>45317</v>
      </c>
    </row>
    <row r="19" spans="1:28" x14ac:dyDescent="0.35">
      <c r="A19" s="15"/>
      <c r="B19" s="15"/>
      <c r="D19" t="s">
        <v>147</v>
      </c>
      <c r="G19" s="48">
        <v>50000</v>
      </c>
      <c r="H19" s="7">
        <v>0</v>
      </c>
      <c r="I19" s="7" t="e">
        <f>H15-#REF!</f>
        <v>#REF!</v>
      </c>
      <c r="J19" s="3"/>
      <c r="K19" s="8" t="s">
        <v>37</v>
      </c>
      <c r="L19" s="8" t="s">
        <v>43</v>
      </c>
      <c r="M19" t="s">
        <v>130</v>
      </c>
      <c r="N19" s="7">
        <f>38000+1500+2500+2500+4000</f>
        <v>48500</v>
      </c>
      <c r="O19">
        <v>73707</v>
      </c>
    </row>
    <row r="20" spans="1:28" ht="15" thickBot="1" x14ac:dyDescent="0.4">
      <c r="A20" s="14"/>
      <c r="B20" s="14"/>
      <c r="C20" s="14"/>
      <c r="D20" s="14"/>
      <c r="E20" s="14"/>
      <c r="F20" s="14"/>
      <c r="G20" s="18"/>
      <c r="H20" s="18"/>
      <c r="I20" s="18"/>
      <c r="J20" s="3"/>
      <c r="K20" s="8" t="s">
        <v>46</v>
      </c>
      <c r="N20" s="17">
        <f>SUM(N18:N19)</f>
        <v>93817</v>
      </c>
      <c r="O20" s="19">
        <v>42156</v>
      </c>
      <c r="Q20">
        <v>37666</v>
      </c>
      <c r="X20">
        <f>388*70/1.43</f>
        <v>18993.006993006995</v>
      </c>
    </row>
    <row r="21" spans="1:28" ht="15" thickTop="1" x14ac:dyDescent="0.35">
      <c r="A21" s="14"/>
      <c r="B21" s="14"/>
      <c r="C21" s="14"/>
      <c r="D21" s="14"/>
      <c r="E21" s="20"/>
      <c r="F21" s="14"/>
      <c r="G21" s="18"/>
      <c r="H21" s="18"/>
      <c r="I21" s="18"/>
      <c r="J21" s="14"/>
      <c r="K21" s="14" t="s">
        <v>51</v>
      </c>
      <c r="L21" s="14" t="s">
        <v>52</v>
      </c>
      <c r="M21" s="14"/>
      <c r="N21" s="14"/>
      <c r="O21" s="19">
        <v>41791</v>
      </c>
      <c r="Q21">
        <v>35143</v>
      </c>
    </row>
    <row r="22" spans="1:28" x14ac:dyDescent="0.35">
      <c r="A22" s="14"/>
      <c r="B22" s="14"/>
      <c r="C22" s="14"/>
      <c r="D22" s="14"/>
      <c r="E22" s="21"/>
      <c r="F22" s="14"/>
      <c r="G22" s="18"/>
      <c r="H22" s="18"/>
      <c r="I22" s="18"/>
      <c r="J22" s="14"/>
      <c r="K22" s="14" t="s">
        <v>51</v>
      </c>
      <c r="L22" s="20" t="s">
        <v>53</v>
      </c>
      <c r="M22" s="14"/>
      <c r="N22" s="14"/>
      <c r="O22" s="19">
        <v>42583</v>
      </c>
    </row>
    <row r="23" spans="1:28" x14ac:dyDescent="0.35">
      <c r="J23">
        <v>33</v>
      </c>
      <c r="K23" s="14" t="s">
        <v>51</v>
      </c>
      <c r="L23" s="21" t="s">
        <v>54</v>
      </c>
      <c r="M23" s="14"/>
      <c r="N23" s="14"/>
    </row>
    <row r="24" spans="1:28" ht="15" thickBot="1" x14ac:dyDescent="0.4">
      <c r="N24" s="17">
        <f>SUM(N21:N23)</f>
        <v>0</v>
      </c>
    </row>
    <row r="25" spans="1:28" ht="15.5" thickTop="1" thickBot="1" x14ac:dyDescent="0.4">
      <c r="D25" s="3" t="s">
        <v>46</v>
      </c>
      <c r="G25" s="22">
        <f>SUM(G4:G24)</f>
        <v>678738.42</v>
      </c>
      <c r="H25" s="22">
        <f>SUM(H4:H24)</f>
        <v>618135</v>
      </c>
      <c r="I25" s="4"/>
      <c r="J25" s="7">
        <f>G25-H25</f>
        <v>60603.420000000042</v>
      </c>
      <c r="AA25">
        <v>1155</v>
      </c>
    </row>
    <row r="26" spans="1:28" ht="15" thickTop="1" x14ac:dyDescent="0.35">
      <c r="N26" s="7">
        <f>N10+N20+N16</f>
        <v>265317</v>
      </c>
      <c r="R26">
        <v>900</v>
      </c>
      <c r="AA26">
        <v>80.13</v>
      </c>
    </row>
    <row r="27" spans="1:28" ht="15" thickBot="1" x14ac:dyDescent="0.4">
      <c r="D27" s="8" t="s">
        <v>55</v>
      </c>
      <c r="G27" s="22"/>
      <c r="H27" s="22"/>
      <c r="I27" s="4"/>
      <c r="L27">
        <v>77</v>
      </c>
      <c r="AB27">
        <f>AA26*AA25</f>
        <v>92550.15</v>
      </c>
    </row>
    <row r="28" spans="1:28" ht="15" thickTop="1" x14ac:dyDescent="0.35">
      <c r="D28" s="3" t="s">
        <v>56</v>
      </c>
      <c r="O28" s="8" t="s">
        <v>57</v>
      </c>
      <c r="P28" s="8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U28" s="23" t="s">
        <v>58</v>
      </c>
      <c r="AA28">
        <v>1.5</v>
      </c>
      <c r="AB28">
        <f>AB27/AA28</f>
        <v>61700.1</v>
      </c>
    </row>
    <row r="29" spans="1:28" x14ac:dyDescent="0.35">
      <c r="D29" s="8" t="s">
        <v>59</v>
      </c>
      <c r="E29" s="8" t="s">
        <v>60</v>
      </c>
      <c r="G29">
        <v>0</v>
      </c>
      <c r="P29">
        <v>2015</v>
      </c>
      <c r="Q29" s="24">
        <v>2016</v>
      </c>
      <c r="R29" s="24">
        <v>2017</v>
      </c>
      <c r="S29" s="24">
        <v>2018</v>
      </c>
      <c r="T29" s="24">
        <v>2019</v>
      </c>
      <c r="U29" s="24">
        <v>2020</v>
      </c>
      <c r="V29">
        <f>U29+1</f>
        <v>2021</v>
      </c>
    </row>
    <row r="30" spans="1:28" x14ac:dyDescent="0.35">
      <c r="D30" s="8" t="s">
        <v>61</v>
      </c>
      <c r="G30">
        <v>15000</v>
      </c>
      <c r="O30" t="s">
        <v>62</v>
      </c>
      <c r="P30">
        <v>164433.05128205128</v>
      </c>
      <c r="Q30" s="5">
        <v>248589.40162966101</v>
      </c>
      <c r="R30" s="5">
        <v>314989.18799999997</v>
      </c>
      <c r="S30" s="5">
        <v>335945</v>
      </c>
      <c r="T30" s="5">
        <v>336562</v>
      </c>
      <c r="U30" s="5">
        <v>374989.18799999997</v>
      </c>
    </row>
    <row r="31" spans="1:28" x14ac:dyDescent="0.35">
      <c r="D31" s="8" t="s">
        <v>63</v>
      </c>
      <c r="G31">
        <v>2000</v>
      </c>
      <c r="P31" s="7">
        <v>0</v>
      </c>
      <c r="Q31" s="5">
        <v>0</v>
      </c>
      <c r="R31" s="5"/>
      <c r="S31" s="5"/>
      <c r="T31" s="5">
        <v>30000</v>
      </c>
      <c r="U31" s="5">
        <v>7000</v>
      </c>
    </row>
    <row r="32" spans="1:28" ht="15" thickBot="1" x14ac:dyDescent="0.4">
      <c r="G32" s="25">
        <f>SUM(G29:G31)</f>
        <v>17000</v>
      </c>
      <c r="O32" t="s">
        <v>64</v>
      </c>
      <c r="P32" s="7">
        <v>29028</v>
      </c>
      <c r="Q32" s="24"/>
      <c r="R32" s="5"/>
      <c r="S32" s="5"/>
      <c r="T32" s="5"/>
      <c r="U32" s="5"/>
    </row>
    <row r="33" spans="4:28" ht="15" thickTop="1" x14ac:dyDescent="0.35">
      <c r="O33" t="s">
        <v>46</v>
      </c>
      <c r="P33" s="7">
        <v>193461.05128205128</v>
      </c>
      <c r="Q33" s="5">
        <v>248589.40162966101</v>
      </c>
      <c r="R33" s="5">
        <v>314989.18799999997</v>
      </c>
      <c r="S33" s="5">
        <v>335945</v>
      </c>
      <c r="T33" s="5">
        <v>374989.18799999997</v>
      </c>
      <c r="U33" s="5">
        <v>381989.18799999997</v>
      </c>
    </row>
    <row r="34" spans="4:28" x14ac:dyDescent="0.35">
      <c r="D34" s="8" t="s">
        <v>65</v>
      </c>
      <c r="Q34" s="7">
        <v>55128.350347609725</v>
      </c>
      <c r="R34" s="7">
        <v>66399.786370338959</v>
      </c>
      <c r="S34" s="7">
        <f>S33-R33</f>
        <v>20955.812000000034</v>
      </c>
    </row>
    <row r="36" spans="4:28" ht="15" thickBot="1" x14ac:dyDescent="0.4">
      <c r="D36" s="8" t="s">
        <v>66</v>
      </c>
      <c r="G36" s="17">
        <f>G27+G32-G34</f>
        <v>17000</v>
      </c>
      <c r="O36" t="s">
        <v>67</v>
      </c>
      <c r="Q36" s="26">
        <v>282432.88663898304</v>
      </c>
      <c r="R36" s="7">
        <v>33843.48500932203</v>
      </c>
      <c r="S36" s="7">
        <v>8687</v>
      </c>
      <c r="T36" s="7">
        <v>120736</v>
      </c>
      <c r="AA36" t="s">
        <v>68</v>
      </c>
      <c r="AB36">
        <v>1500</v>
      </c>
    </row>
    <row r="37" spans="4:28" ht="15" thickTop="1" x14ac:dyDescent="0.35">
      <c r="O37" t="s">
        <v>42</v>
      </c>
      <c r="Q37" s="26">
        <v>294892.69565217395</v>
      </c>
      <c r="R37" s="7">
        <v>12459.809013190912</v>
      </c>
      <c r="S37" s="7">
        <v>5697</v>
      </c>
      <c r="T37" s="7">
        <v>43735</v>
      </c>
    </row>
    <row r="38" spans="4:28" ht="15" thickBot="1" x14ac:dyDescent="0.4">
      <c r="D38" s="8" t="s">
        <v>69</v>
      </c>
      <c r="G38" s="17">
        <f>N26</f>
        <v>265317</v>
      </c>
      <c r="O38" t="s">
        <v>41</v>
      </c>
      <c r="Q38" s="26">
        <v>310690.6944444445</v>
      </c>
      <c r="R38" s="7">
        <v>15797.998792270548</v>
      </c>
      <c r="S38" s="7">
        <v>37050</v>
      </c>
      <c r="T38" s="7">
        <v>-7000</v>
      </c>
    </row>
    <row r="39" spans="4:28" ht="15" thickTop="1" x14ac:dyDescent="0.35">
      <c r="O39" t="s">
        <v>70</v>
      </c>
      <c r="Q39" s="27">
        <v>314989.18799999997</v>
      </c>
      <c r="R39" s="7">
        <v>4298.4935555554694</v>
      </c>
      <c r="S39" s="7">
        <v>-31361</v>
      </c>
      <c r="T39" s="7">
        <v>11634</v>
      </c>
    </row>
    <row r="40" spans="4:28" x14ac:dyDescent="0.35">
      <c r="D40" s="8" t="s">
        <v>37</v>
      </c>
      <c r="G40">
        <v>360000</v>
      </c>
      <c r="R40" s="7">
        <v>66399.786370338959</v>
      </c>
      <c r="S40" s="7">
        <f>SUM(S36:S39)</f>
        <v>20073</v>
      </c>
      <c r="T40" s="7">
        <f>SUM(T36:T39)</f>
        <v>169105</v>
      </c>
    </row>
    <row r="41" spans="4:28" ht="15" thickBot="1" x14ac:dyDescent="0.4">
      <c r="D41" s="8" t="s">
        <v>71</v>
      </c>
      <c r="G41" s="25">
        <f>G40</f>
        <v>360000</v>
      </c>
    </row>
    <row r="42" spans="4:28" ht="15" thickTop="1" x14ac:dyDescent="0.35">
      <c r="O42" s="8" t="s">
        <v>72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AA42" t="s">
        <v>73</v>
      </c>
    </row>
    <row r="43" spans="4:28" x14ac:dyDescent="0.35">
      <c r="D43" s="8" t="s">
        <v>74</v>
      </c>
      <c r="G43" s="7">
        <f>G41+G38+G36</f>
        <v>642317</v>
      </c>
      <c r="P43">
        <v>2015</v>
      </c>
      <c r="Q43">
        <v>2016</v>
      </c>
      <c r="R43">
        <v>2017</v>
      </c>
      <c r="S43">
        <v>2018</v>
      </c>
      <c r="T43">
        <v>2019</v>
      </c>
      <c r="U43">
        <v>2020</v>
      </c>
      <c r="AA43" t="s">
        <v>75</v>
      </c>
      <c r="AB43" t="s">
        <v>76</v>
      </c>
    </row>
    <row r="44" spans="4:28" x14ac:dyDescent="0.35">
      <c r="O44" t="s">
        <v>77</v>
      </c>
      <c r="P44" s="7">
        <v>105896.15384615386</v>
      </c>
      <c r="Q44" s="7">
        <v>163396.15384615387</v>
      </c>
      <c r="R44" s="7">
        <v>193396.15384615387</v>
      </c>
      <c r="S44" s="7">
        <v>223396.15384615387</v>
      </c>
      <c r="T44" s="7">
        <v>253396.15384615387</v>
      </c>
      <c r="U44" s="7">
        <v>283396.15384615387</v>
      </c>
    </row>
    <row r="45" spans="4:28" x14ac:dyDescent="0.35">
      <c r="O45" s="8" t="s">
        <v>78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  <c r="U45" s="7">
        <v>30000</v>
      </c>
    </row>
    <row r="46" spans="4:28" x14ac:dyDescent="0.35">
      <c r="O46" t="s">
        <v>79</v>
      </c>
      <c r="P46" s="7">
        <v>27500.000000000004</v>
      </c>
      <c r="Q46" s="7"/>
      <c r="R46" s="7"/>
      <c r="S46" s="7"/>
      <c r="T46" s="7"/>
      <c r="U46" s="7"/>
    </row>
    <row r="47" spans="4:28" x14ac:dyDescent="0.35">
      <c r="O47" t="s">
        <v>46</v>
      </c>
      <c r="P47" s="7">
        <v>163396.15384615387</v>
      </c>
      <c r="Q47" s="7">
        <v>193396.15384615387</v>
      </c>
      <c r="R47" s="7">
        <v>223396.15384615387</v>
      </c>
      <c r="S47" s="7">
        <v>253396.15384615387</v>
      </c>
      <c r="T47" s="7">
        <v>283396.15384615387</v>
      </c>
      <c r="U47" s="7">
        <v>313396.15384615387</v>
      </c>
    </row>
    <row r="48" spans="4:28" x14ac:dyDescent="0.35">
      <c r="U48" s="7">
        <f>U47-Q33</f>
        <v>64806.752216492867</v>
      </c>
    </row>
    <row r="49" spans="8:16" x14ac:dyDescent="0.35">
      <c r="H49">
        <v>171</v>
      </c>
    </row>
    <row r="50" spans="8:16" x14ac:dyDescent="0.35">
      <c r="H50">
        <v>29</v>
      </c>
      <c r="K50" s="36" t="s">
        <v>140</v>
      </c>
      <c r="L50" s="36" t="s">
        <v>139</v>
      </c>
      <c r="O50" t="s">
        <v>142</v>
      </c>
      <c r="P50" s="7">
        <v>1000</v>
      </c>
    </row>
    <row r="51" spans="8:16" x14ac:dyDescent="0.35">
      <c r="H51">
        <v>70</v>
      </c>
      <c r="K51" t="s">
        <v>137</v>
      </c>
      <c r="L51">
        <f>900/100*25</f>
        <v>225</v>
      </c>
      <c r="O51" t="s">
        <v>146</v>
      </c>
      <c r="P51" s="7">
        <f>2000/1.3</f>
        <v>1538.4615384615383</v>
      </c>
    </row>
    <row r="52" spans="8:16" x14ac:dyDescent="0.35">
      <c r="H52">
        <f>SUM(H49:H51)</f>
        <v>270</v>
      </c>
      <c r="K52" t="s">
        <v>141</v>
      </c>
      <c r="L52">
        <v>51</v>
      </c>
      <c r="O52" s="24" t="s">
        <v>143</v>
      </c>
      <c r="P52" s="24">
        <v>1000</v>
      </c>
    </row>
    <row r="53" spans="8:16" x14ac:dyDescent="0.35">
      <c r="H53">
        <v>200</v>
      </c>
      <c r="K53" t="s">
        <v>138</v>
      </c>
      <c r="L53">
        <v>15</v>
      </c>
      <c r="O53" t="s">
        <v>144</v>
      </c>
      <c r="P53" s="24">
        <v>1036</v>
      </c>
    </row>
    <row r="54" spans="8:16" x14ac:dyDescent="0.35">
      <c r="K54" t="s">
        <v>15</v>
      </c>
      <c r="L54">
        <f>22+15</f>
        <v>37</v>
      </c>
      <c r="O54" t="s">
        <v>145</v>
      </c>
      <c r="P54">
        <v>2000</v>
      </c>
    </row>
    <row r="55" spans="8:16" ht="15" thickBot="1" x14ac:dyDescent="0.4">
      <c r="K55" t="s">
        <v>46</v>
      </c>
      <c r="L55" s="47">
        <f>SUM(L51:L54)</f>
        <v>328</v>
      </c>
      <c r="P55" s="7">
        <f>SUM(P50:P54)</f>
        <v>6574.4615384615381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C744-108D-457E-864A-8AEC026ACA16}">
  <dimension ref="A1:AG71"/>
  <sheetViews>
    <sheetView topLeftCell="A57" workbookViewId="0">
      <selection activeCell="F59" sqref="F59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45565</v>
      </c>
      <c r="H3" s="32">
        <v>45565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42946+25610</f>
        <v>68556</v>
      </c>
      <c r="H4" s="7">
        <v>68342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38751+25610</f>
        <v>64361</v>
      </c>
      <c r="H5" s="7">
        <v>64145</v>
      </c>
      <c r="I5" s="7" t="e">
        <f>#REF!-#REF!</f>
        <v>#REF!</v>
      </c>
      <c r="J5" s="3"/>
      <c r="K5" t="s">
        <v>15</v>
      </c>
      <c r="N5" s="7">
        <f>22000+5000+10000</f>
        <v>37000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G6" s="7">
        <v>11210</v>
      </c>
      <c r="H6" s="7">
        <v>11227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G7" s="7">
        <v>10000</v>
      </c>
      <c r="H7" s="7">
        <v>10000</v>
      </c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G8" s="7">
        <v>7308</v>
      </c>
      <c r="H8" s="7">
        <v>7095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G9" s="45">
        <v>43850</v>
      </c>
      <c r="H9" s="45">
        <v>43850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G10" s="7">
        <v>13802</v>
      </c>
      <c r="H10" s="45">
        <v>13818</v>
      </c>
      <c r="I10" s="7" t="e">
        <f>#REF!-#REF!</f>
        <v>#REF!</v>
      </c>
      <c r="J10" s="3"/>
      <c r="N10" s="17">
        <f>SUM(N5:N9)</f>
        <v>66000</v>
      </c>
      <c r="O10" s="8"/>
    </row>
    <row r="11" spans="1:33" ht="15" thickTop="1" x14ac:dyDescent="0.35">
      <c r="D11" s="8" t="s">
        <v>31</v>
      </c>
      <c r="E11" t="s">
        <v>32</v>
      </c>
      <c r="G11" s="7">
        <v>9000</v>
      </c>
      <c r="H11" s="7">
        <v>10000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t="s">
        <v>35</v>
      </c>
      <c r="E12" t="s">
        <v>36</v>
      </c>
      <c r="F12" t="s">
        <v>11</v>
      </c>
      <c r="G12" s="7">
        <v>41550</v>
      </c>
      <c r="H12" s="7">
        <v>41250</v>
      </c>
      <c r="I12" s="7" t="e">
        <f>#REF!-#REF!</f>
        <v>#REF!</v>
      </c>
      <c r="J12" s="3" t="s">
        <v>11</v>
      </c>
      <c r="K12" t="s">
        <v>124</v>
      </c>
      <c r="N12">
        <v>85500</v>
      </c>
      <c r="O12" s="8"/>
      <c r="P12" s="12"/>
      <c r="S12">
        <f>14514*2</f>
        <v>29028</v>
      </c>
      <c r="AF12" t="s">
        <v>34</v>
      </c>
      <c r="AG12">
        <v>40000</v>
      </c>
    </row>
    <row r="13" spans="1:33" x14ac:dyDescent="0.35">
      <c r="D13" t="s">
        <v>35</v>
      </c>
      <c r="E13" t="s">
        <v>36</v>
      </c>
      <c r="F13" t="s">
        <v>40</v>
      </c>
      <c r="G13" s="7">
        <v>1000</v>
      </c>
      <c r="H13" s="7">
        <v>1000</v>
      </c>
      <c r="I13" s="7" t="e">
        <f>#REF!-#REF!</f>
        <v>#REF!</v>
      </c>
      <c r="J13" s="3"/>
      <c r="K13" s="8" t="s">
        <v>14</v>
      </c>
      <c r="N13">
        <v>9000</v>
      </c>
      <c r="O13" s="8"/>
      <c r="AG13">
        <f>SUM(AG5:AG12)</f>
        <v>225000</v>
      </c>
    </row>
    <row r="14" spans="1:33" x14ac:dyDescent="0.35">
      <c r="C14">
        <v>105.06</v>
      </c>
      <c r="D14" t="s">
        <v>35</v>
      </c>
      <c r="E14" t="s">
        <v>36</v>
      </c>
      <c r="F14" t="s">
        <v>14</v>
      </c>
      <c r="G14" s="7">
        <v>16125</v>
      </c>
      <c r="H14" s="7">
        <v>15900</v>
      </c>
      <c r="I14" s="7" t="e">
        <f>#REF!-#REF!</f>
        <v>#REF!</v>
      </c>
      <c r="J14" s="3"/>
      <c r="K14" s="8" t="s">
        <v>122</v>
      </c>
      <c r="O14" s="8"/>
    </row>
    <row r="15" spans="1:33" x14ac:dyDescent="0.35">
      <c r="C15">
        <v>2012</v>
      </c>
      <c r="D15" t="s">
        <v>131</v>
      </c>
      <c r="F15" t="s">
        <v>14</v>
      </c>
      <c r="G15" s="7">
        <v>364200</v>
      </c>
      <c r="H15" s="7">
        <v>342038</v>
      </c>
      <c r="I15" s="7" t="e">
        <f>#REF!-#REF!</f>
        <v>#REF!</v>
      </c>
      <c r="J15" s="3"/>
      <c r="K15" s="8" t="s">
        <v>114</v>
      </c>
      <c r="N15">
        <v>11000</v>
      </c>
      <c r="R15">
        <v>81287</v>
      </c>
    </row>
    <row r="16" spans="1:33" ht="15" thickBot="1" x14ac:dyDescent="0.4">
      <c r="A16" s="8">
        <v>139.47999999999999</v>
      </c>
      <c r="B16" s="14"/>
      <c r="D16" t="s">
        <v>44</v>
      </c>
      <c r="E16" t="s">
        <v>110</v>
      </c>
      <c r="F16" t="s">
        <v>14</v>
      </c>
      <c r="G16" s="7">
        <v>0</v>
      </c>
      <c r="H16" s="48">
        <v>0</v>
      </c>
      <c r="I16" s="7" t="e">
        <f>#REF!-#REF!</f>
        <v>#REF!</v>
      </c>
      <c r="J16" s="3"/>
      <c r="N16" s="17">
        <f>SUM(N12:N15)</f>
        <v>105500</v>
      </c>
      <c r="R16" t="e">
        <f>#REF!*2</f>
        <v>#REF!</v>
      </c>
    </row>
    <row r="17" spans="1:28" ht="15" thickTop="1" x14ac:dyDescent="0.35">
      <c r="A17" s="15"/>
      <c r="B17" s="15"/>
      <c r="C17" s="14">
        <v>0.67</v>
      </c>
      <c r="D17" t="s">
        <v>123</v>
      </c>
      <c r="E17" t="s">
        <v>48</v>
      </c>
      <c r="F17" t="s">
        <v>14</v>
      </c>
      <c r="G17" s="7">
        <v>0</v>
      </c>
      <c r="H17" s="48">
        <v>0</v>
      </c>
      <c r="I17" s="7" t="e">
        <f>#REF!-#REF!</f>
        <v>#REF!</v>
      </c>
      <c r="J17" s="3"/>
      <c r="K17" s="3" t="s">
        <v>104</v>
      </c>
      <c r="L17" s="8"/>
      <c r="N17" s="7"/>
      <c r="R17" t="e">
        <f>R15-R16</f>
        <v>#REF!</v>
      </c>
      <c r="Y17">
        <f>SUM(A17:A19)</f>
        <v>0</v>
      </c>
      <c r="Z17">
        <f>Y17*W4</f>
        <v>0</v>
      </c>
    </row>
    <row r="18" spans="1:28" x14ac:dyDescent="0.35">
      <c r="A18" s="15"/>
      <c r="B18" s="15"/>
      <c r="C18">
        <v>10.52</v>
      </c>
      <c r="D18" t="s">
        <v>50</v>
      </c>
      <c r="E18" t="s">
        <v>110</v>
      </c>
      <c r="F18" t="s">
        <v>14</v>
      </c>
      <c r="G18" s="7">
        <v>0</v>
      </c>
      <c r="H18" s="48">
        <v>73.42</v>
      </c>
      <c r="I18" s="7" t="e">
        <f>#REF!-#REF!</f>
        <v>#REF!</v>
      </c>
      <c r="J18" s="3"/>
      <c r="K18" s="8" t="s">
        <v>37</v>
      </c>
      <c r="L18" s="8" t="s">
        <v>38</v>
      </c>
      <c r="M18" t="s">
        <v>129</v>
      </c>
      <c r="N18" s="7">
        <f>38000+1500+2500+3317</f>
        <v>45317</v>
      </c>
    </row>
    <row r="19" spans="1:28" x14ac:dyDescent="0.35">
      <c r="A19" s="15"/>
      <c r="B19" s="15"/>
      <c r="D19" t="s">
        <v>147</v>
      </c>
      <c r="G19" s="7">
        <v>28176</v>
      </c>
      <c r="H19" s="48">
        <v>50000</v>
      </c>
      <c r="I19" s="7" t="e">
        <f>#REF!-#REF!</f>
        <v>#REF!</v>
      </c>
      <c r="J19" s="3"/>
      <c r="K19" s="8" t="s">
        <v>37</v>
      </c>
      <c r="L19" s="8" t="s">
        <v>43</v>
      </c>
      <c r="M19" t="s">
        <v>130</v>
      </c>
      <c r="N19" s="7">
        <f>38000+1500+2500+2500+4000</f>
        <v>48500</v>
      </c>
      <c r="O19">
        <v>73707</v>
      </c>
    </row>
    <row r="20" spans="1:28" ht="15" thickBot="1" x14ac:dyDescent="0.4">
      <c r="A20" s="14"/>
      <c r="B20" s="14"/>
      <c r="C20" s="14"/>
      <c r="D20" s="14"/>
      <c r="E20" s="14"/>
      <c r="F20" s="14"/>
      <c r="G20" s="18"/>
      <c r="H20" s="18"/>
      <c r="I20" s="18"/>
      <c r="J20" s="3"/>
      <c r="K20" s="8" t="s">
        <v>46</v>
      </c>
      <c r="N20" s="17">
        <f>SUM(N18:N19)</f>
        <v>93817</v>
      </c>
      <c r="O20" s="19">
        <v>42156</v>
      </c>
      <c r="Q20">
        <v>37666</v>
      </c>
      <c r="X20">
        <f>388*70/1.43</f>
        <v>18993.006993006995</v>
      </c>
    </row>
    <row r="21" spans="1:28" ht="15" thickTop="1" x14ac:dyDescent="0.35">
      <c r="A21" s="14"/>
      <c r="B21" s="14"/>
      <c r="C21" s="14"/>
      <c r="D21" s="14"/>
      <c r="E21" s="20"/>
      <c r="F21" s="14"/>
      <c r="G21" s="18"/>
      <c r="H21" s="18"/>
      <c r="I21" s="18"/>
      <c r="J21" s="14"/>
      <c r="K21" s="14" t="s">
        <v>51</v>
      </c>
      <c r="L21" s="14" t="s">
        <v>52</v>
      </c>
      <c r="M21" s="14"/>
      <c r="N21" s="14"/>
      <c r="O21" s="19">
        <v>41791</v>
      </c>
      <c r="Q21">
        <v>35143</v>
      </c>
    </row>
    <row r="22" spans="1:28" x14ac:dyDescent="0.35">
      <c r="A22" s="14"/>
      <c r="B22" s="14"/>
      <c r="C22" s="14"/>
      <c r="D22" s="14"/>
      <c r="E22" s="21"/>
      <c r="F22" s="14"/>
      <c r="G22" s="18"/>
      <c r="H22" s="18"/>
      <c r="I22" s="18"/>
      <c r="J22" s="14"/>
      <c r="K22" s="14" t="s">
        <v>51</v>
      </c>
      <c r="L22" s="20" t="s">
        <v>53</v>
      </c>
      <c r="M22" s="14"/>
      <c r="N22" s="14"/>
      <c r="O22" s="19">
        <v>42583</v>
      </c>
    </row>
    <row r="23" spans="1:28" x14ac:dyDescent="0.35">
      <c r="J23">
        <v>33</v>
      </c>
      <c r="K23" s="14" t="s">
        <v>51</v>
      </c>
      <c r="L23" s="21" t="s">
        <v>54</v>
      </c>
      <c r="M23" s="14"/>
      <c r="N23" s="14"/>
    </row>
    <row r="24" spans="1:28" ht="15" thickBot="1" x14ac:dyDescent="0.4">
      <c r="N24" s="17">
        <f>SUM(N21:N23)</f>
        <v>0</v>
      </c>
    </row>
    <row r="25" spans="1:28" ht="15.5" thickTop="1" thickBot="1" x14ac:dyDescent="0.4">
      <c r="D25" s="3" t="s">
        <v>46</v>
      </c>
      <c r="G25" s="22">
        <f>SUM(G4:G24)</f>
        <v>679138</v>
      </c>
      <c r="H25" s="22">
        <f>SUM(H4:H24)</f>
        <v>678738.42</v>
      </c>
      <c r="I25" s="4"/>
      <c r="J25" s="7">
        <f>G25-H25</f>
        <v>399.57999999995809</v>
      </c>
      <c r="AA25">
        <v>1155</v>
      </c>
    </row>
    <row r="26" spans="1:28" ht="15" thickTop="1" x14ac:dyDescent="0.35">
      <c r="N26" s="7">
        <f>N10+N20+N16</f>
        <v>265317</v>
      </c>
      <c r="R26">
        <v>900</v>
      </c>
      <c r="AA26">
        <v>80.13</v>
      </c>
    </row>
    <row r="27" spans="1:28" ht="15" thickBot="1" x14ac:dyDescent="0.4">
      <c r="D27" s="8" t="s">
        <v>55</v>
      </c>
      <c r="G27" s="22"/>
      <c r="H27" s="22"/>
      <c r="I27" s="4"/>
      <c r="L27">
        <v>77</v>
      </c>
      <c r="AB27">
        <f>AA26*AA25</f>
        <v>92550.15</v>
      </c>
    </row>
    <row r="28" spans="1:28" ht="15" thickTop="1" x14ac:dyDescent="0.35">
      <c r="D28" s="3" t="s">
        <v>56</v>
      </c>
      <c r="O28" s="8" t="s">
        <v>57</v>
      </c>
      <c r="P28" s="8" t="s">
        <v>58</v>
      </c>
      <c r="Q28" s="23" t="s">
        <v>58</v>
      </c>
      <c r="R28" s="23" t="s">
        <v>58</v>
      </c>
      <c r="S28" s="23" t="s">
        <v>58</v>
      </c>
      <c r="T28" s="23" t="s">
        <v>58</v>
      </c>
      <c r="U28" s="23" t="s">
        <v>58</v>
      </c>
      <c r="AA28">
        <v>1.5</v>
      </c>
      <c r="AB28">
        <f>AB27/AA28</f>
        <v>61700.1</v>
      </c>
    </row>
    <row r="29" spans="1:28" x14ac:dyDescent="0.35">
      <c r="D29" s="8" t="s">
        <v>59</v>
      </c>
      <c r="E29" s="8" t="s">
        <v>60</v>
      </c>
      <c r="G29">
        <v>0</v>
      </c>
      <c r="P29">
        <v>2015</v>
      </c>
      <c r="Q29" s="24">
        <v>2016</v>
      </c>
      <c r="R29" s="24">
        <v>2017</v>
      </c>
      <c r="S29" s="24">
        <v>2018</v>
      </c>
      <c r="T29" s="24">
        <v>2019</v>
      </c>
      <c r="U29" s="24">
        <v>2020</v>
      </c>
      <c r="V29">
        <f>U29+1</f>
        <v>2021</v>
      </c>
    </row>
    <row r="30" spans="1:28" x14ac:dyDescent="0.35">
      <c r="D30" s="8" t="s">
        <v>61</v>
      </c>
      <c r="G30">
        <v>15000</v>
      </c>
      <c r="O30" t="s">
        <v>62</v>
      </c>
      <c r="P30">
        <v>164433.05128205128</v>
      </c>
      <c r="Q30" s="5">
        <v>248589.40162966101</v>
      </c>
      <c r="R30" s="5">
        <v>314989.18799999997</v>
      </c>
      <c r="S30" s="5">
        <v>335945</v>
      </c>
      <c r="T30" s="5">
        <v>336562</v>
      </c>
      <c r="U30" s="5">
        <v>374989.18799999997</v>
      </c>
    </row>
    <row r="31" spans="1:28" x14ac:dyDescent="0.35">
      <c r="D31" s="8" t="s">
        <v>63</v>
      </c>
      <c r="G31">
        <v>2000</v>
      </c>
      <c r="P31" s="7">
        <v>0</v>
      </c>
      <c r="Q31" s="5">
        <v>0</v>
      </c>
      <c r="R31" s="5"/>
      <c r="S31" s="5"/>
      <c r="T31" s="5">
        <v>30000</v>
      </c>
      <c r="U31" s="5">
        <v>7000</v>
      </c>
    </row>
    <row r="32" spans="1:28" ht="15" thickBot="1" x14ac:dyDescent="0.4">
      <c r="G32" s="25">
        <f>SUM(G29:G31)</f>
        <v>17000</v>
      </c>
      <c r="O32" t="s">
        <v>64</v>
      </c>
      <c r="P32" s="7">
        <v>29028</v>
      </c>
      <c r="Q32" s="24"/>
      <c r="R32" s="5"/>
      <c r="S32" s="5"/>
      <c r="T32" s="5"/>
      <c r="U32" s="5"/>
    </row>
    <row r="33" spans="4:28" ht="15" thickTop="1" x14ac:dyDescent="0.35">
      <c r="O33" t="s">
        <v>46</v>
      </c>
      <c r="P33" s="7">
        <v>193461.05128205128</v>
      </c>
      <c r="Q33" s="5">
        <v>248589.40162966101</v>
      </c>
      <c r="R33" s="5">
        <v>314989.18799999997</v>
      </c>
      <c r="S33" s="5">
        <v>335945</v>
      </c>
      <c r="T33" s="5">
        <v>374989.18799999997</v>
      </c>
      <c r="U33" s="5">
        <v>381989.18799999997</v>
      </c>
    </row>
    <row r="34" spans="4:28" x14ac:dyDescent="0.35">
      <c r="D34" s="8" t="s">
        <v>65</v>
      </c>
      <c r="Q34" s="7">
        <v>55128.350347609725</v>
      </c>
      <c r="R34" s="7">
        <v>66399.786370338959</v>
      </c>
      <c r="S34" s="7">
        <f>S33-R33</f>
        <v>20955.812000000034</v>
      </c>
    </row>
    <row r="36" spans="4:28" ht="15" thickBot="1" x14ac:dyDescent="0.4">
      <c r="D36" s="8" t="s">
        <v>66</v>
      </c>
      <c r="G36" s="17">
        <f>G27+G32-G34</f>
        <v>17000</v>
      </c>
      <c r="O36" t="s">
        <v>67</v>
      </c>
      <c r="Q36" s="26">
        <v>282432.88663898304</v>
      </c>
      <c r="R36" s="7">
        <v>33843.48500932203</v>
      </c>
      <c r="S36" s="7">
        <v>8687</v>
      </c>
      <c r="T36" s="7">
        <v>120736</v>
      </c>
      <c r="AA36" t="s">
        <v>68</v>
      </c>
      <c r="AB36">
        <v>1500</v>
      </c>
    </row>
    <row r="37" spans="4:28" ht="15" thickTop="1" x14ac:dyDescent="0.35">
      <c r="O37" t="s">
        <v>42</v>
      </c>
      <c r="Q37" s="26">
        <v>294892.69565217395</v>
      </c>
      <c r="R37" s="7">
        <v>12459.809013190912</v>
      </c>
      <c r="S37" s="7">
        <v>5697</v>
      </c>
      <c r="T37" s="7">
        <v>43735</v>
      </c>
    </row>
    <row r="38" spans="4:28" ht="15" thickBot="1" x14ac:dyDescent="0.4">
      <c r="D38" s="8" t="s">
        <v>69</v>
      </c>
      <c r="G38" s="17">
        <f>N26</f>
        <v>265317</v>
      </c>
      <c r="O38" t="s">
        <v>41</v>
      </c>
      <c r="Q38" s="26">
        <v>310690.6944444445</v>
      </c>
      <c r="R38" s="7">
        <v>15797.998792270548</v>
      </c>
      <c r="S38" s="7">
        <v>37050</v>
      </c>
      <c r="T38" s="7">
        <v>-7000</v>
      </c>
    </row>
    <row r="39" spans="4:28" ht="15" thickTop="1" x14ac:dyDescent="0.35">
      <c r="O39" t="s">
        <v>70</v>
      </c>
      <c r="Q39" s="27">
        <v>314989.18799999997</v>
      </c>
      <c r="R39" s="7">
        <v>4298.4935555554694</v>
      </c>
      <c r="S39" s="7">
        <v>-31361</v>
      </c>
      <c r="T39" s="7">
        <v>11634</v>
      </c>
    </row>
    <row r="40" spans="4:28" x14ac:dyDescent="0.35">
      <c r="D40" s="8" t="s">
        <v>37</v>
      </c>
      <c r="G40">
        <v>360000</v>
      </c>
      <c r="R40" s="7">
        <v>66399.786370338959</v>
      </c>
      <c r="S40" s="7">
        <f>SUM(S36:S39)</f>
        <v>20073</v>
      </c>
      <c r="T40" s="7">
        <f>SUM(T36:T39)</f>
        <v>169105</v>
      </c>
    </row>
    <row r="41" spans="4:28" ht="15" thickBot="1" x14ac:dyDescent="0.4">
      <c r="D41" s="8" t="s">
        <v>71</v>
      </c>
      <c r="G41" s="25">
        <f>G40</f>
        <v>360000</v>
      </c>
    </row>
    <row r="42" spans="4:28" ht="15" thickTop="1" x14ac:dyDescent="0.35">
      <c r="O42" s="8" t="s">
        <v>72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AA42" t="s">
        <v>73</v>
      </c>
    </row>
    <row r="43" spans="4:28" x14ac:dyDescent="0.35">
      <c r="D43" s="8" t="s">
        <v>74</v>
      </c>
      <c r="G43" s="7">
        <f>G41+G38+G36</f>
        <v>642317</v>
      </c>
      <c r="P43">
        <v>2015</v>
      </c>
      <c r="Q43">
        <v>2016</v>
      </c>
      <c r="R43">
        <v>2017</v>
      </c>
      <c r="S43">
        <v>2018</v>
      </c>
      <c r="T43">
        <v>2019</v>
      </c>
      <c r="U43">
        <v>2020</v>
      </c>
      <c r="AA43" t="s">
        <v>75</v>
      </c>
      <c r="AB43" t="s">
        <v>76</v>
      </c>
    </row>
    <row r="44" spans="4:28" x14ac:dyDescent="0.35">
      <c r="O44" t="s">
        <v>77</v>
      </c>
      <c r="P44" s="7">
        <v>105896.15384615386</v>
      </c>
      <c r="Q44" s="7">
        <v>163396.15384615387</v>
      </c>
      <c r="R44" s="7">
        <v>193396.15384615387</v>
      </c>
      <c r="S44" s="7">
        <v>223396.15384615387</v>
      </c>
      <c r="T44" s="7">
        <v>253396.15384615387</v>
      </c>
      <c r="U44" s="7">
        <v>283396.15384615387</v>
      </c>
    </row>
    <row r="45" spans="4:28" x14ac:dyDescent="0.35">
      <c r="O45" s="8" t="s">
        <v>78</v>
      </c>
      <c r="P45" s="7">
        <v>30000</v>
      </c>
      <c r="Q45" s="7">
        <v>30000</v>
      </c>
      <c r="R45" s="7">
        <v>30000</v>
      </c>
      <c r="S45" s="7">
        <v>30000</v>
      </c>
      <c r="T45" s="7">
        <v>30000</v>
      </c>
      <c r="U45" s="7">
        <v>30000</v>
      </c>
    </row>
    <row r="46" spans="4:28" x14ac:dyDescent="0.35">
      <c r="E46">
        <v>57150</v>
      </c>
      <c r="O46" t="s">
        <v>79</v>
      </c>
      <c r="P46" s="7">
        <v>27500.000000000004</v>
      </c>
      <c r="Q46" s="7"/>
      <c r="R46" s="7"/>
      <c r="S46" s="7"/>
      <c r="T46" s="7"/>
      <c r="U46" s="7"/>
    </row>
    <row r="47" spans="4:28" x14ac:dyDescent="0.35">
      <c r="E47">
        <f>100000-E46</f>
        <v>42850</v>
      </c>
      <c r="O47" t="s">
        <v>46</v>
      </c>
      <c r="P47" s="7">
        <v>163396.15384615387</v>
      </c>
      <c r="Q47" s="7">
        <v>193396.15384615387</v>
      </c>
      <c r="R47" s="7">
        <v>223396.15384615387</v>
      </c>
      <c r="S47" s="7">
        <v>253396.15384615387</v>
      </c>
      <c r="T47" s="7">
        <v>283396.15384615387</v>
      </c>
      <c r="U47" s="7">
        <v>313396.15384615387</v>
      </c>
    </row>
    <row r="48" spans="4:28" x14ac:dyDescent="0.35">
      <c r="U48" s="7">
        <f>U47-Q33</f>
        <v>64806.752216492867</v>
      </c>
    </row>
    <row r="49" spans="5:16" x14ac:dyDescent="0.35">
      <c r="E49">
        <v>50000</v>
      </c>
      <c r="H49">
        <v>171</v>
      </c>
    </row>
    <row r="50" spans="5:16" x14ac:dyDescent="0.35">
      <c r="E50">
        <v>16125</v>
      </c>
      <c r="H50">
        <v>29</v>
      </c>
      <c r="K50" s="36" t="s">
        <v>140</v>
      </c>
      <c r="L50" s="36" t="s">
        <v>139</v>
      </c>
      <c r="O50" t="s">
        <v>142</v>
      </c>
      <c r="P50" s="7">
        <v>1000</v>
      </c>
    </row>
    <row r="51" spans="5:16" x14ac:dyDescent="0.35">
      <c r="E51">
        <f>E49-E50</f>
        <v>33875</v>
      </c>
      <c r="H51">
        <v>70</v>
      </c>
      <c r="K51" t="s">
        <v>137</v>
      </c>
      <c r="L51">
        <f>900/100*25</f>
        <v>225</v>
      </c>
      <c r="O51" t="s">
        <v>146</v>
      </c>
      <c r="P51" s="7">
        <f>2000/1.3</f>
        <v>1538.4615384615383</v>
      </c>
    </row>
    <row r="52" spans="5:16" x14ac:dyDescent="0.35">
      <c r="H52">
        <f>SUM(H49:H51)</f>
        <v>270</v>
      </c>
      <c r="K52" t="s">
        <v>141</v>
      </c>
      <c r="L52">
        <v>30</v>
      </c>
      <c r="O52" s="24" t="s">
        <v>143</v>
      </c>
      <c r="P52" s="24">
        <v>1000</v>
      </c>
    </row>
    <row r="53" spans="5:16" x14ac:dyDescent="0.35">
      <c r="E53">
        <v>41555</v>
      </c>
      <c r="H53">
        <v>200</v>
      </c>
      <c r="K53" t="s">
        <v>138</v>
      </c>
      <c r="L53">
        <v>10</v>
      </c>
      <c r="O53" t="s">
        <v>144</v>
      </c>
      <c r="P53" s="24">
        <v>1036</v>
      </c>
    </row>
    <row r="54" spans="5:16" x14ac:dyDescent="0.35">
      <c r="E54">
        <f>E49-E53</f>
        <v>8445</v>
      </c>
      <c r="K54" t="s">
        <v>15</v>
      </c>
      <c r="L54">
        <f>22+15</f>
        <v>37</v>
      </c>
      <c r="O54" t="s">
        <v>145</v>
      </c>
      <c r="P54">
        <v>2000</v>
      </c>
    </row>
    <row r="55" spans="5:16" ht="15" thickBot="1" x14ac:dyDescent="0.4">
      <c r="K55" t="s">
        <v>46</v>
      </c>
      <c r="L55" s="47">
        <f>SUM(L51:L54)</f>
        <v>302</v>
      </c>
      <c r="P55" s="7">
        <f>SUM(P50:P54)</f>
        <v>6574.4615384615381</v>
      </c>
    </row>
    <row r="57" spans="5:16" x14ac:dyDescent="0.35">
      <c r="E57" t="s">
        <v>152</v>
      </c>
      <c r="F57" s="49">
        <v>159</v>
      </c>
      <c r="K57" t="s">
        <v>150</v>
      </c>
    </row>
    <row r="58" spans="5:16" x14ac:dyDescent="0.35">
      <c r="E58" t="s">
        <v>15</v>
      </c>
      <c r="F58" s="49">
        <v>38</v>
      </c>
      <c r="K58" t="s">
        <v>149</v>
      </c>
      <c r="L58">
        <v>33875</v>
      </c>
    </row>
    <row r="59" spans="5:16" x14ac:dyDescent="0.35">
      <c r="E59" t="s">
        <v>153</v>
      </c>
      <c r="F59" s="49">
        <v>40</v>
      </c>
      <c r="K59" t="s">
        <v>149</v>
      </c>
      <c r="L59">
        <v>8450</v>
      </c>
    </row>
    <row r="60" spans="5:16" x14ac:dyDescent="0.35">
      <c r="E60" t="s">
        <v>154</v>
      </c>
      <c r="F60" s="49">
        <v>16.100000000000001</v>
      </c>
    </row>
    <row r="61" spans="5:16" x14ac:dyDescent="0.35">
      <c r="F61">
        <f>SUM(F57:F60)</f>
        <v>253.1</v>
      </c>
    </row>
    <row r="62" spans="5:16" x14ac:dyDescent="0.35">
      <c r="K62" t="s">
        <v>151</v>
      </c>
      <c r="L62">
        <f>SUM(L58:L61)</f>
        <v>42325</v>
      </c>
    </row>
    <row r="64" spans="5:16" x14ac:dyDescent="0.35">
      <c r="E64" t="s">
        <v>155</v>
      </c>
      <c r="F64">
        <v>20</v>
      </c>
    </row>
    <row r="65" spans="4:7" x14ac:dyDescent="0.35">
      <c r="E65" t="s">
        <v>156</v>
      </c>
      <c r="F65">
        <v>20</v>
      </c>
    </row>
    <row r="66" spans="4:7" x14ac:dyDescent="0.35">
      <c r="E66" t="s">
        <v>157</v>
      </c>
      <c r="F66">
        <v>70</v>
      </c>
      <c r="G66" t="s">
        <v>24</v>
      </c>
    </row>
    <row r="67" spans="4:7" x14ac:dyDescent="0.35">
      <c r="D67" t="s">
        <v>160</v>
      </c>
      <c r="E67" t="s">
        <v>158</v>
      </c>
      <c r="F67">
        <v>70</v>
      </c>
    </row>
    <row r="68" spans="4:7" x14ac:dyDescent="0.35">
      <c r="D68" t="s">
        <v>160</v>
      </c>
      <c r="E68" t="s">
        <v>159</v>
      </c>
      <c r="F68">
        <v>40</v>
      </c>
    </row>
    <row r="69" spans="4:7" x14ac:dyDescent="0.35">
      <c r="D69" t="s">
        <v>160</v>
      </c>
      <c r="E69" t="s">
        <v>152</v>
      </c>
      <c r="F69">
        <v>33</v>
      </c>
    </row>
    <row r="71" spans="4:7" x14ac:dyDescent="0.35">
      <c r="E71" t="s">
        <v>46</v>
      </c>
      <c r="F71">
        <f>SUM(F64:F69)</f>
        <v>253</v>
      </c>
    </row>
  </sheetData>
  <phoneticPr fontId="7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9CAE-6B8A-4A9C-87FE-529E90F2763F}">
  <dimension ref="A1:AG72"/>
  <sheetViews>
    <sheetView topLeftCell="B1" workbookViewId="0">
      <selection activeCell="B1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45626</v>
      </c>
      <c r="H3" s="32">
        <v>45596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44092+26279</f>
        <v>70371</v>
      </c>
      <c r="H4" s="7">
        <f>42946+25610</f>
        <v>68556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39870+26279</f>
        <v>66149</v>
      </c>
      <c r="H5" s="7">
        <f>38751+26790</f>
        <v>65541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11599</v>
      </c>
      <c r="H6" s="7">
        <v>11210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>
        <f>H7</f>
        <v>10000</v>
      </c>
      <c r="H7" s="7">
        <v>10000</v>
      </c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12257</v>
      </c>
      <c r="H8" s="7">
        <v>7308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F9" t="s">
        <v>11</v>
      </c>
      <c r="G9" s="45">
        <v>58592</v>
      </c>
      <c r="H9" s="45">
        <v>43850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F10" t="s">
        <v>14</v>
      </c>
      <c r="G10" s="7">
        <v>13784</v>
      </c>
      <c r="H10" s="7">
        <v>13802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31</v>
      </c>
      <c r="E11" t="s">
        <v>32</v>
      </c>
      <c r="F11" t="s">
        <v>164</v>
      </c>
      <c r="G11" s="7">
        <v>0</v>
      </c>
      <c r="H11" s="7">
        <v>9000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165</v>
      </c>
      <c r="G12" s="7">
        <v>15000</v>
      </c>
      <c r="H12" s="7"/>
      <c r="I12" s="7"/>
      <c r="J12" s="3"/>
      <c r="K12" s="3"/>
      <c r="O12" s="8"/>
    </row>
    <row r="13" spans="1:33" x14ac:dyDescent="0.35">
      <c r="D13" s="8" t="s">
        <v>161</v>
      </c>
      <c r="F13" t="s">
        <v>164</v>
      </c>
      <c r="G13" s="7">
        <v>231403</v>
      </c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162</v>
      </c>
      <c r="F14" t="s">
        <v>14</v>
      </c>
      <c r="G14">
        <v>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163</v>
      </c>
      <c r="F15" t="s">
        <v>11</v>
      </c>
      <c r="G15" s="7">
        <v>0</v>
      </c>
      <c r="I15" s="7" t="e">
        <f>#REF!-#REF!</f>
        <v>#REF!</v>
      </c>
      <c r="J15" s="3"/>
      <c r="K15" s="8" t="s">
        <v>122</v>
      </c>
      <c r="O15" s="8"/>
    </row>
    <row r="16" spans="1:33" x14ac:dyDescent="0.35">
      <c r="C16">
        <v>2012</v>
      </c>
      <c r="D16" t="s">
        <v>35</v>
      </c>
      <c r="E16" t="s">
        <v>36</v>
      </c>
      <c r="F16" t="s">
        <v>11</v>
      </c>
      <c r="G16" s="7">
        <v>50000</v>
      </c>
      <c r="H16" s="7">
        <v>41550</v>
      </c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t="s">
        <v>35</v>
      </c>
      <c r="E17" t="s">
        <v>36</v>
      </c>
      <c r="F17" t="s">
        <v>14</v>
      </c>
      <c r="G17" s="7">
        <v>50000</v>
      </c>
      <c r="H17" s="7">
        <v>16125</v>
      </c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131</v>
      </c>
      <c r="F18" t="s">
        <v>14</v>
      </c>
      <c r="G18" s="7">
        <v>369763</v>
      </c>
      <c r="H18" s="7">
        <v>364200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</f>
        <v>48500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93817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G22" s="18"/>
      <c r="H22" s="18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G23" s="18"/>
      <c r="H23" s="18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958918</v>
      </c>
      <c r="H26" s="22">
        <f>SUM(H4:H25)</f>
        <v>651142</v>
      </c>
      <c r="I26" s="4"/>
      <c r="J26" s="7">
        <f>G26-H26</f>
        <v>307776</v>
      </c>
      <c r="AA26">
        <v>1155</v>
      </c>
    </row>
    <row r="27" spans="1:28" ht="15" thickTop="1" x14ac:dyDescent="0.35">
      <c r="N27" s="7">
        <f>N10+N21+N17</f>
        <v>228317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228317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605317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406E-D351-4F6F-88A6-1D173C5D8BA8}">
  <dimension ref="A1:AG72"/>
  <sheetViews>
    <sheetView topLeftCell="A14" workbookViewId="0">
      <selection activeCell="A14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45657</v>
      </c>
      <c r="H3" s="32">
        <v>45626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25894+43503</f>
        <v>69397</v>
      </c>
      <c r="H4" s="7">
        <v>70371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v>65191</v>
      </c>
      <c r="H5" s="7">
        <v>66149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11411</v>
      </c>
      <c r="H6" s="7">
        <v>11599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>
        <f>K35</f>
        <v>12084.603299999999</v>
      </c>
      <c r="H7" s="7">
        <v>10000</v>
      </c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13325</v>
      </c>
      <c r="H8" s="7">
        <v>12257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F9" t="s">
        <v>11</v>
      </c>
      <c r="G9" s="45">
        <v>57582</v>
      </c>
      <c r="H9" s="45">
        <v>58592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F10" t="s">
        <v>14</v>
      </c>
      <c r="G10" s="7">
        <v>13646</v>
      </c>
      <c r="H10" s="7">
        <v>13784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166</v>
      </c>
      <c r="F11" t="s">
        <v>11</v>
      </c>
      <c r="G11">
        <v>30000</v>
      </c>
      <c r="H11" s="7">
        <v>0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167</v>
      </c>
      <c r="F12" t="s">
        <v>14</v>
      </c>
      <c r="G12">
        <v>5000</v>
      </c>
      <c r="H12" s="7">
        <v>0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7"/>
      <c r="H13" s="7">
        <v>0</v>
      </c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165</v>
      </c>
      <c r="G14" s="7">
        <v>15000</v>
      </c>
      <c r="H14" s="7">
        <v>15000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227884</v>
      </c>
      <c r="H15">
        <v>231403</v>
      </c>
      <c r="I15" s="7" t="e">
        <f>#REF!-#REF!</f>
        <v>#REF!</v>
      </c>
      <c r="J15" s="3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>
        <v>0</v>
      </c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5"/>
      <c r="H17" s="24">
        <v>0</v>
      </c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D20" t="s">
        <v>131</v>
      </c>
      <c r="F20" t="s">
        <v>14</v>
      </c>
      <c r="G20" s="7">
        <v>340058</v>
      </c>
      <c r="H20" s="7">
        <v>369763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</f>
        <v>48500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93817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960578.60329999996</v>
      </c>
      <c r="H26" s="22">
        <f>SUM(H4:H25)</f>
        <v>958918</v>
      </c>
      <c r="I26" s="4"/>
      <c r="J26" s="7">
        <f>G26-H26</f>
        <v>1660.6032999999588</v>
      </c>
      <c r="AA26">
        <v>1155</v>
      </c>
    </row>
    <row r="27" spans="1:28" ht="15" thickTop="1" x14ac:dyDescent="0.35">
      <c r="N27" s="7">
        <f>N10+N21+N17</f>
        <v>228317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228317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605317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0547-D973-4062-9C52-E155D79D6CF7}">
  <dimension ref="A1:AG72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269531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45688</v>
      </c>
      <c r="H3" s="32">
        <v>45657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45645+27114</f>
        <v>72759</v>
      </c>
      <c r="H4" s="7">
        <f>25894+43503</f>
        <v>69397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41180+27114</f>
        <v>68294</v>
      </c>
      <c r="H5" s="7">
        <v>65191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12149</v>
      </c>
      <c r="H6" s="7">
        <v>11411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5"/>
      <c r="H7" s="5">
        <f>L35</f>
        <v>0</v>
      </c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14234</v>
      </c>
      <c r="H8" s="7">
        <v>13325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F9" t="s">
        <v>11</v>
      </c>
      <c r="G9" s="45">
        <v>97471</v>
      </c>
      <c r="H9" s="45">
        <v>57582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F10" t="s">
        <v>14</v>
      </c>
      <c r="G10" s="7">
        <f>5657+13812</f>
        <v>19469</v>
      </c>
      <c r="H10" s="7">
        <v>13646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166</v>
      </c>
      <c r="F11" t="s">
        <v>11</v>
      </c>
      <c r="G11" s="7">
        <v>0</v>
      </c>
      <c r="H11">
        <v>30000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167</v>
      </c>
      <c r="F12" t="s">
        <v>14</v>
      </c>
      <c r="G12">
        <v>0</v>
      </c>
      <c r="H12">
        <v>5000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165</v>
      </c>
      <c r="G14" s="7">
        <f>H14</f>
        <v>15000</v>
      </c>
      <c r="H14" s="7">
        <v>15000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208447</v>
      </c>
      <c r="H15" s="7">
        <v>227884</v>
      </c>
      <c r="I15" s="7" t="e">
        <f>#REF!-#REF!</f>
        <v>#REF!</v>
      </c>
      <c r="J15" s="3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5"/>
      <c r="H17" s="5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>
        <v>268</v>
      </c>
      <c r="D20" t="s">
        <v>131</v>
      </c>
      <c r="F20" t="s">
        <v>14</v>
      </c>
      <c r="G20" s="7">
        <v>389783</v>
      </c>
      <c r="H20" s="7">
        <v>340058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</f>
        <v>48500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93817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997606</v>
      </c>
      <c r="H26" s="22">
        <f>SUM(H4:H25)</f>
        <v>948494</v>
      </c>
      <c r="I26" s="4"/>
      <c r="J26" s="7">
        <f>G26-H26</f>
        <v>49112</v>
      </c>
      <c r="AA26">
        <v>1155</v>
      </c>
    </row>
    <row r="27" spans="1:28" ht="15" thickTop="1" x14ac:dyDescent="0.35">
      <c r="N27" s="7">
        <f>N10+N21+N17</f>
        <v>228317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228317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605317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EA1F-E2FA-40C2-89FC-D64F1A878583}">
  <dimension ref="A1:AG72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45716</v>
      </c>
      <c r="H3" s="32">
        <v>45688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44465+26493</f>
        <v>70958</v>
      </c>
      <c r="H4" s="7">
        <f>45645+27114</f>
        <v>72759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40112+26493</f>
        <v>66605</v>
      </c>
      <c r="H5" s="7">
        <f>41180+27114</f>
        <v>68294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11852</v>
      </c>
      <c r="H6" s="7">
        <v>12149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5"/>
      <c r="H7" s="5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14212</v>
      </c>
      <c r="H8" s="7">
        <v>14234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F9" t="s">
        <v>11</v>
      </c>
      <c r="G9" s="45">
        <v>92305</v>
      </c>
      <c r="H9" s="45">
        <v>97471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F10" t="s">
        <v>14</v>
      </c>
      <c r="G10" s="7">
        <v>28044</v>
      </c>
      <c r="H10" s="7">
        <f>5657+13812</f>
        <v>19469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166</v>
      </c>
      <c r="F11" t="s">
        <v>11</v>
      </c>
      <c r="G11" s="5"/>
      <c r="H11" s="7">
        <v>0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167</v>
      </c>
      <c r="F12" t="s">
        <v>14</v>
      </c>
      <c r="G12" s="24"/>
      <c r="H12">
        <v>0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165</v>
      </c>
      <c r="G14" s="7">
        <v>15000</v>
      </c>
      <c r="H14" s="7">
        <v>15000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185453</v>
      </c>
      <c r="H15" s="7">
        <v>208447</v>
      </c>
      <c r="I15" s="7" t="e">
        <f>#REF!-#REF!</f>
        <v>#REF!</v>
      </c>
      <c r="J15" s="3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5"/>
      <c r="H17" s="5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>
        <v>268</v>
      </c>
      <c r="D20" t="s">
        <v>131</v>
      </c>
      <c r="F20" t="s">
        <v>14</v>
      </c>
      <c r="G20" s="7">
        <v>380069</v>
      </c>
      <c r="H20" s="7">
        <v>389783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99317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964498</v>
      </c>
      <c r="H26" s="22">
        <f>SUM(H4:H25)</f>
        <v>997606</v>
      </c>
      <c r="I26" s="4"/>
      <c r="J26" s="7">
        <f>G26-H26</f>
        <v>-33108</v>
      </c>
      <c r="AA26">
        <v>1155</v>
      </c>
    </row>
    <row r="27" spans="1:28" ht="15" thickTop="1" x14ac:dyDescent="0.35">
      <c r="N27" s="7">
        <f>N10+N21+N17</f>
        <v>233817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233817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610817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5B8F-BA5B-4B70-84A7-9136A8F61798}">
  <dimension ref="A1:AG72"/>
  <sheetViews>
    <sheetView topLeftCell="A8" workbookViewId="0">
      <selection activeCell="A8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45747</v>
      </c>
      <c r="H3" s="32">
        <v>45716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42925+25590</f>
        <v>68515</v>
      </c>
      <c r="H4" s="7">
        <f>44465+26493</f>
        <v>70958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38733+25590</f>
        <v>64323</v>
      </c>
      <c r="H5" s="7">
        <f>40112+26493</f>
        <v>66605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10759</v>
      </c>
      <c r="H6" s="7">
        <v>11852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5"/>
      <c r="H7" s="5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13059</v>
      </c>
      <c r="H8" s="7">
        <v>14212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120</v>
      </c>
      <c r="F9" t="s">
        <v>11</v>
      </c>
      <c r="G9" s="45">
        <v>84726</v>
      </c>
      <c r="H9" s="45">
        <v>92305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F10" t="s">
        <v>14</v>
      </c>
      <c r="G10" s="7">
        <f>378466-G20</f>
        <v>18671</v>
      </c>
      <c r="H10" s="7">
        <v>28044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166</v>
      </c>
      <c r="F11" t="s">
        <v>11</v>
      </c>
      <c r="G11" s="5"/>
      <c r="H11" s="5"/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167</v>
      </c>
      <c r="F12" t="s">
        <v>14</v>
      </c>
      <c r="G12" s="24"/>
      <c r="H12" s="24"/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165</v>
      </c>
      <c r="G14" s="7">
        <v>15000</v>
      </c>
      <c r="H14" s="7">
        <v>15000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181546</v>
      </c>
      <c r="H15" s="7">
        <v>185453</v>
      </c>
      <c r="I15" s="7" t="e">
        <f>#REF!-#REF!</f>
        <v>#REF!</v>
      </c>
      <c r="J15" s="3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5"/>
      <c r="H17" s="5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>
        <v>268</v>
      </c>
      <c r="D20" t="s">
        <v>168</v>
      </c>
      <c r="F20" t="s">
        <v>14</v>
      </c>
      <c r="G20" s="7">
        <v>359795</v>
      </c>
      <c r="H20" s="7">
        <v>380069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99317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916394</v>
      </c>
      <c r="H26" s="22">
        <f>SUM(H4:H25)</f>
        <v>964498</v>
      </c>
      <c r="I26" s="4"/>
      <c r="J26" s="7">
        <f>G26-H26</f>
        <v>-48104</v>
      </c>
      <c r="AA26">
        <v>1155</v>
      </c>
    </row>
    <row r="27" spans="1:28" ht="15" thickTop="1" x14ac:dyDescent="0.35">
      <c r="N27" s="7">
        <f>N10+N21+N17</f>
        <v>233817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233817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610817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0501-F87F-4E36-836D-B370F4C4B46B}">
  <dimension ref="A1:AG72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45777</v>
      </c>
      <c r="H3" s="32">
        <v>45747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41715+24827</f>
        <v>66542</v>
      </c>
      <c r="H4" s="7">
        <f>44465+26493</f>
        <v>70958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37768+24827</f>
        <v>62595</v>
      </c>
      <c r="H5" s="7">
        <f>40112+26493</f>
        <v>66605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10566</v>
      </c>
      <c r="H6" s="7">
        <v>11852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5"/>
      <c r="H7" s="5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13658</v>
      </c>
      <c r="H8" s="7">
        <v>14212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45">
        <v>84667</v>
      </c>
      <c r="H9" s="45">
        <v>92305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119</v>
      </c>
      <c r="F10" t="s">
        <v>14</v>
      </c>
      <c r="G10" s="7">
        <v>37929</v>
      </c>
      <c r="H10" s="7">
        <v>28044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166</v>
      </c>
      <c r="F11" t="s">
        <v>11</v>
      </c>
      <c r="G11" s="5"/>
      <c r="H11" s="5"/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167</v>
      </c>
      <c r="F12" t="s">
        <v>14</v>
      </c>
      <c r="G12" s="7">
        <v>20000</v>
      </c>
      <c r="H12" s="24"/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165</v>
      </c>
      <c r="G14" s="7">
        <v>0</v>
      </c>
      <c r="H14" s="7">
        <v>15000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183000</v>
      </c>
      <c r="H15" s="7">
        <v>185453</v>
      </c>
      <c r="I15" s="7" t="e">
        <f>#REF!-#REF!</f>
        <v>#REF!</v>
      </c>
      <c r="J15" s="3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5"/>
      <c r="H17" s="5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>
        <v>268</v>
      </c>
      <c r="D20" t="s">
        <v>168</v>
      </c>
      <c r="F20" t="s">
        <v>14</v>
      </c>
      <c r="G20" s="7">
        <v>378875</v>
      </c>
      <c r="H20" s="7">
        <v>380069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99317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957832</v>
      </c>
      <c r="H26" s="22">
        <f>SUM(H4:H25)</f>
        <v>964498</v>
      </c>
      <c r="I26" s="4"/>
      <c r="J26" s="7">
        <f>G26-H26</f>
        <v>-6666</v>
      </c>
      <c r="AA26">
        <v>1155</v>
      </c>
    </row>
    <row r="27" spans="1:28" ht="15" thickTop="1" x14ac:dyDescent="0.35">
      <c r="N27" s="7">
        <f>N10+N21+N17</f>
        <v>233817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233817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610817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AF1C-7B97-4D80-94C6-921A3B85807A}">
  <dimension ref="A1:AG72"/>
  <sheetViews>
    <sheetView topLeftCell="A6" workbookViewId="0">
      <selection activeCell="A6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45808</v>
      </c>
      <c r="H3" s="32">
        <v>45777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43808+25888</f>
        <v>69696</v>
      </c>
      <c r="H4" s="7">
        <f>41715+24827</f>
        <v>66542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39521+25888</f>
        <v>65409</v>
      </c>
      <c r="H5" s="7">
        <f>37768+24827</f>
        <v>62595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11124</v>
      </c>
      <c r="H6" s="7">
        <v>10566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5"/>
      <c r="H7" s="5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15775</v>
      </c>
      <c r="H8" s="7">
        <v>13658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50">
        <v>71218</v>
      </c>
      <c r="H9" s="50">
        <v>84667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50">
        <v>16603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39455</v>
      </c>
      <c r="H11" s="7">
        <v>37929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419180-G20</f>
        <v>37547</v>
      </c>
      <c r="H12" s="7">
        <v>20000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123287</v>
      </c>
      <c r="H15" s="7">
        <v>183000</v>
      </c>
      <c r="I15" s="7" t="e">
        <f>#REF!-#REF!</f>
        <v>#REF!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5"/>
      <c r="H17" s="5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>
        <v>268</v>
      </c>
      <c r="D20" t="s">
        <v>168</v>
      </c>
      <c r="F20" t="s">
        <v>14</v>
      </c>
      <c r="G20" s="7">
        <v>381633</v>
      </c>
      <c r="H20" s="7">
        <v>378875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99317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971747</v>
      </c>
      <c r="H26" s="22">
        <f>SUM(H4:H25)</f>
        <v>957832</v>
      </c>
      <c r="I26" s="4"/>
      <c r="J26" s="7">
        <f>G26-H26</f>
        <v>13915</v>
      </c>
      <c r="AA26">
        <v>1155</v>
      </c>
    </row>
    <row r="27" spans="1:28" ht="15" thickTop="1" x14ac:dyDescent="0.35">
      <c r="N27" s="7">
        <f>N10+N21+N17</f>
        <v>233817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233817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610817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6FB3-DDA4-4703-9259-7CCDE959BDD9}">
  <dimension ref="A1:AG72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45838</v>
      </c>
      <c r="H3" s="32">
        <v>45808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44348+26264</f>
        <v>70612</v>
      </c>
      <c r="H4" s="7">
        <f>43808+25888</f>
        <v>69696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40007+26264</f>
        <v>66271</v>
      </c>
      <c r="H5" s="7">
        <f>39521+25888</f>
        <v>65409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11189</v>
      </c>
      <c r="H6" s="7">
        <v>11124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5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17115</v>
      </c>
      <c r="H8" s="7">
        <v>15775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36987</v>
      </c>
      <c r="H9" s="50">
        <v>71218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103205</v>
      </c>
      <c r="H10" s="50">
        <v>16603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37096</v>
      </c>
      <c r="H11" s="7">
        <v>39455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5">
        <f>416928-G20+10464</f>
        <v>42768</v>
      </c>
      <c r="H12" s="7">
        <f>419180-H20</f>
        <v>37547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112501</v>
      </c>
      <c r="H15" s="7">
        <v>123287</v>
      </c>
      <c r="I15" s="7" t="e">
        <f>#REF!-#REF!</f>
        <v>#REF!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5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384624</v>
      </c>
      <c r="H20" s="7">
        <v>381633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99317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1022368</v>
      </c>
      <c r="H26" s="22">
        <f>SUM(H4:H25)</f>
        <v>971747</v>
      </c>
      <c r="I26" s="4"/>
      <c r="J26" s="7">
        <f>G26-H26</f>
        <v>50621</v>
      </c>
      <c r="AA26">
        <v>1155</v>
      </c>
    </row>
    <row r="27" spans="1:28" ht="15" thickTop="1" x14ac:dyDescent="0.35">
      <c r="N27" s="7">
        <f>N10+N21+N17</f>
        <v>233817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233817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610817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A120-855C-4573-912B-2CAEE1888715}">
  <dimension ref="A1:AG72"/>
  <sheetViews>
    <sheetView topLeftCell="A15" workbookViewId="0">
      <selection activeCell="A15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45869</v>
      </c>
      <c r="H3" s="32">
        <v>45838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46111+27276</f>
        <v>73387</v>
      </c>
      <c r="H4" s="7">
        <f>44348+26264</f>
        <v>70612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41598+27276</f>
        <v>68874</v>
      </c>
      <c r="H5" s="7">
        <f>40007+26264</f>
        <v>66271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11199</v>
      </c>
      <c r="H6" s="7">
        <v>11189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18729</v>
      </c>
      <c r="H8" s="7">
        <v>17115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36989</v>
      </c>
      <c r="H9" s="7">
        <v>36987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103164</v>
      </c>
      <c r="H10" s="7">
        <v>103205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36286</v>
      </c>
      <c r="H11" s="7">
        <v>37096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417920-G20</f>
        <v>40965</v>
      </c>
      <c r="H12" s="5">
        <f>416928-H20+10464</f>
        <v>42768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105961</v>
      </c>
      <c r="H15" s="7">
        <v>112501</v>
      </c>
      <c r="I15" s="7" t="e">
        <f>#REF!-#REF!</f>
        <v>#REF!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7">
        <f>38000+1500+2500+3317</f>
        <v>45317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376955</v>
      </c>
      <c r="H20" s="7">
        <v>384624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7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99317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1012509</v>
      </c>
      <c r="H26" s="22">
        <f>SUM(H4:H25)</f>
        <v>1022368</v>
      </c>
      <c r="I26" s="4"/>
      <c r="J26" s="7">
        <f>G26-H26</f>
        <v>-9859</v>
      </c>
      <c r="AA26">
        <v>1155</v>
      </c>
    </row>
    <row r="27" spans="1:28" ht="15" thickTop="1" x14ac:dyDescent="0.35">
      <c r="N27" s="7">
        <f>N10+N21+N17</f>
        <v>233817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233817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610817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D8FE-68D9-4D27-A8D9-DFDFB87842A5}">
  <dimension ref="A1:AG72"/>
  <sheetViews>
    <sheetView topLeftCell="A7" workbookViewId="0">
      <selection activeCell="A7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8" width="10.7265625" customWidth="1"/>
    <col min="9" max="9" width="10.7265625" hidden="1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45899</v>
      </c>
      <c r="H3" s="32">
        <v>45869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45887+27222</f>
        <v>73109</v>
      </c>
      <c r="H4" s="7">
        <f>46111+27276</f>
        <v>73387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41393+27222</f>
        <v>68615</v>
      </c>
      <c r="H5" s="7">
        <f>41598+27276</f>
        <v>68874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11348</v>
      </c>
      <c r="H6" s="7">
        <v>11199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18515</v>
      </c>
      <c r="H8" s="7">
        <v>18729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37049</v>
      </c>
      <c r="H9" s="7">
        <v>36989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91233</v>
      </c>
      <c r="H10" s="7">
        <v>103164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27435</v>
      </c>
      <c r="H11" s="7">
        <v>36286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381940-G20</f>
        <v>33292</v>
      </c>
      <c r="H12" s="7">
        <f>417920-H20</f>
        <v>40965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102999</v>
      </c>
      <c r="H15" s="7">
        <v>105961</v>
      </c>
      <c r="I15" s="7" t="e">
        <f>#REF!-#REF!</f>
        <v>#REF!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348648</v>
      </c>
      <c r="H20" s="7">
        <v>376955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952243</v>
      </c>
      <c r="H26" s="22">
        <f>SUM(H4:H25)</f>
        <v>1012509</v>
      </c>
      <c r="I26" s="4"/>
      <c r="J26" s="7">
        <f>G26-H26</f>
        <v>-60266</v>
      </c>
      <c r="AA26">
        <v>1155</v>
      </c>
    </row>
    <row r="27" spans="1:28" ht="15" thickTop="1" x14ac:dyDescent="0.35">
      <c r="N27" s="7">
        <f>N10+N21+N17</f>
        <v>236817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236817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613817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788A-FE0F-43A1-AF3F-F1396C7861AF}">
  <dimension ref="A1:AG72"/>
  <sheetViews>
    <sheetView workbookViewId="0">
      <selection activeCell="I4" sqref="I4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9" width="10.7265625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45930</v>
      </c>
      <c r="H3" s="32">
        <v>45899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46633+27762</f>
        <v>74395</v>
      </c>
      <c r="H4" s="7">
        <f>45887+27222</f>
        <v>73109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42082+28134</f>
        <v>70216</v>
      </c>
      <c r="H5" s="7">
        <f>41393+27222</f>
        <v>68615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11155</v>
      </c>
      <c r="H6" s="7">
        <v>11348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20077</v>
      </c>
      <c r="H8" s="7">
        <v>18515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57101</v>
      </c>
      <c r="H9" s="7">
        <v>37049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68035</v>
      </c>
      <c r="H10" s="7">
        <v>91233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26330</v>
      </c>
      <c r="H11" s="7">
        <v>27435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372402-G20</f>
        <v>31951</v>
      </c>
      <c r="H12" s="7">
        <f>381940-H20</f>
        <v>33292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96625</v>
      </c>
      <c r="H15" s="7">
        <v>102999</v>
      </c>
      <c r="I15" s="7" t="e">
        <f>#REF!-#REF!</f>
        <v>#REF!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50000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340451</v>
      </c>
      <c r="H20" s="7">
        <v>348648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936336</v>
      </c>
      <c r="H26" s="22">
        <f>SUM(H4:H25)</f>
        <v>952243</v>
      </c>
      <c r="I26" s="4"/>
      <c r="J26" s="7">
        <f>G26-H26</f>
        <v>-15907</v>
      </c>
      <c r="AA26">
        <v>1155</v>
      </c>
    </row>
    <row r="27" spans="1:28" ht="15" thickTop="1" x14ac:dyDescent="0.35">
      <c r="N27" s="7">
        <f>N10+N21+N17</f>
        <v>236817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236817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613817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C48E-F9C3-4055-B486-0D99849517F6}">
  <dimension ref="A1:AG72"/>
  <sheetViews>
    <sheetView workbookViewId="0">
      <selection activeCell="A10"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9" width="10.7265625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 t="s">
        <v>187</v>
      </c>
      <c r="H3" s="32">
        <v>45930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48248+28732</f>
        <v>76980</v>
      </c>
      <c r="H4" s="7">
        <f>46633+27762</f>
        <v>74395</v>
      </c>
      <c r="I4" s="7" t="e">
        <f>#REF!-#REF!</f>
        <v>#REF!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43542+28889</f>
        <v>72431</v>
      </c>
      <c r="H5" s="7">
        <f>42082+28134</f>
        <v>70216</v>
      </c>
      <c r="I5" s="7" t="e">
        <f>#REF!-#REF!</f>
        <v>#REF!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11525</v>
      </c>
      <c r="H6" s="7">
        <v>11155</v>
      </c>
      <c r="I6" s="7" t="e">
        <f>#REF!-#REF!</f>
        <v>#REF!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 t="e">
        <f>#REF!-#REF!</f>
        <v>#REF!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20808</v>
      </c>
      <c r="H8" s="7">
        <v>20077</v>
      </c>
      <c r="I8" s="7" t="e">
        <f>#REF!-#REF!</f>
        <v>#REF!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53671</v>
      </c>
      <c r="H9" s="7">
        <v>57101</v>
      </c>
      <c r="I9" s="7" t="e">
        <f>#REF!-#REF!</f>
        <v>#REF!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65972</v>
      </c>
      <c r="H10" s="7">
        <v>68035</v>
      </c>
      <c r="I10" s="7" t="e">
        <f>#REF!-#REF!</f>
        <v>#REF!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21241</v>
      </c>
      <c r="H11" s="7">
        <v>26330</v>
      </c>
      <c r="I11" s="7" t="e">
        <f>#REF!-#REF!</f>
        <v>#REF!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368544-G20+4585</f>
        <v>28574</v>
      </c>
      <c r="H12" s="7">
        <f>372402-H20</f>
        <v>31951</v>
      </c>
      <c r="I12" s="7"/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 t="e">
        <f>#REF!-#REF!</f>
        <v>#REF!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 t="e">
        <f>#REF!-#REF!</f>
        <v>#REF!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108580</v>
      </c>
      <c r="H15" s="7">
        <v>96625</v>
      </c>
      <c r="I15" s="7" t="e">
        <f>#REF!-#REF!</f>
        <v>#REF!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 t="e">
        <f>#REF!-#REF!</f>
        <v>#REF!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 t="e">
        <f>#REF!-#REF!</f>
        <v>#REF!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 t="e">
        <f>#REF!-#REF!</f>
        <v>#REF!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60000</v>
      </c>
      <c r="H19" s="7">
        <v>50000</v>
      </c>
      <c r="I19" s="7" t="e">
        <f>#REF!-#REF!</f>
        <v>#REF!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344555</v>
      </c>
      <c r="H20" s="7">
        <v>340451</v>
      </c>
      <c r="I20" s="7" t="e">
        <f>#REF!-#REF!</f>
        <v>#REF!</v>
      </c>
      <c r="J20" s="3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954337</v>
      </c>
      <c r="H26" s="22">
        <f>SUM(H4:H25)</f>
        <v>936336</v>
      </c>
      <c r="I26" s="4"/>
      <c r="J26" s="7">
        <f>G26-H26</f>
        <v>18001</v>
      </c>
      <c r="AA26">
        <v>1155</v>
      </c>
    </row>
    <row r="27" spans="1:28" ht="15" thickTop="1" x14ac:dyDescent="0.35">
      <c r="N27" s="7">
        <f>N10+N21+N17</f>
        <v>236817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236817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613817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FD2F-14B6-4958-BD6C-6400943E1A63}">
  <dimension ref="A1:AG72"/>
  <sheetViews>
    <sheetView workbookViewId="0">
      <selection activeCell="E23" sqref="E23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0.7265625" bestFit="1" customWidth="1"/>
    <col min="8" max="9" width="10.7265625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453125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" t="s">
        <v>188</v>
      </c>
      <c r="H3" s="32">
        <v>45961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47683+28460</f>
        <v>76143</v>
      </c>
      <c r="H4" s="7">
        <f>48248+28732</f>
        <v>76980</v>
      </c>
      <c r="I4" s="7">
        <f>G4-H4</f>
        <v>-837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43056+28973</f>
        <v>72029</v>
      </c>
      <c r="H5" s="7">
        <f>43542+28889</f>
        <v>72431</v>
      </c>
      <c r="I5" s="7">
        <f t="shared" ref="I5:I20" si="0">G5-H5</f>
        <v>-402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11787</v>
      </c>
      <c r="H6" s="7">
        <v>11525</v>
      </c>
      <c r="I6" s="7">
        <f t="shared" si="0"/>
        <v>262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>
        <f t="shared" si="0"/>
        <v>0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19652</v>
      </c>
      <c r="H8" s="7">
        <v>20808</v>
      </c>
      <c r="I8" s="7">
        <f t="shared" si="0"/>
        <v>-1156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51544</v>
      </c>
      <c r="H9" s="7">
        <v>53671</v>
      </c>
      <c r="I9" s="7">
        <f t="shared" si="0"/>
        <v>-2127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62874</v>
      </c>
      <c r="H10" s="7">
        <v>65972</v>
      </c>
      <c r="I10" s="7">
        <f t="shared" si="0"/>
        <v>-3098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18881</v>
      </c>
      <c r="H11" s="7">
        <v>21241</v>
      </c>
      <c r="I11" s="7">
        <f t="shared" si="0"/>
        <v>-2360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343670-317001</f>
        <v>26669</v>
      </c>
      <c r="H12" s="7">
        <f>368544-H20+4585</f>
        <v>28574</v>
      </c>
      <c r="I12" s="7">
        <f t="shared" si="0"/>
        <v>-1905</v>
      </c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>
        <f t="shared" si="0"/>
        <v>0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>
        <f t="shared" si="0"/>
        <v>0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103000</v>
      </c>
      <c r="H15" s="7">
        <v>108580</v>
      </c>
      <c r="I15" s="7">
        <f t="shared" si="0"/>
        <v>-5580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>
        <f t="shared" si="0"/>
        <v>0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>
        <f t="shared" si="0"/>
        <v>0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>
        <f t="shared" si="0"/>
        <v>0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60000</v>
      </c>
      <c r="H19" s="7">
        <v>60000</v>
      </c>
      <c r="I19" s="7">
        <f t="shared" si="0"/>
        <v>0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317001</v>
      </c>
      <c r="H20" s="7">
        <v>344555</v>
      </c>
      <c r="I20" s="7">
        <f t="shared" si="0"/>
        <v>-27554</v>
      </c>
      <c r="J20" s="3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909580</v>
      </c>
      <c r="H26" s="22">
        <f>SUM(H4:H25)</f>
        <v>954337</v>
      </c>
      <c r="I26" s="4"/>
      <c r="J26" s="7">
        <f>G26-H26</f>
        <v>-44757</v>
      </c>
      <c r="AA26">
        <v>1155</v>
      </c>
    </row>
    <row r="27" spans="1:28" ht="15" thickTop="1" x14ac:dyDescent="0.35">
      <c r="N27" s="7">
        <f>N10+N21+N17</f>
        <v>236817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236817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613817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E9D1-A4CA-4087-8AA6-C3624BDF2AE7}">
  <dimension ref="A1:AG72"/>
  <sheetViews>
    <sheetView zoomScaleNormal="100"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1.26953125" bestFit="1" customWidth="1"/>
    <col min="8" max="9" width="10.7265625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90625" bestFit="1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46022</v>
      </c>
      <c r="H3" s="3" t="s">
        <v>188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47689+28509</f>
        <v>76198</v>
      </c>
      <c r="H4" s="7">
        <f>47683+28460</f>
        <v>76143</v>
      </c>
      <c r="I4" s="7">
        <f>G4-H4</f>
        <v>55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43063+29169</f>
        <v>72232</v>
      </c>
      <c r="H5" s="7">
        <f>43056+28973</f>
        <v>72029</v>
      </c>
      <c r="I5" s="7">
        <f t="shared" ref="I5:I20" si="0">G5-H5</f>
        <v>203</v>
      </c>
      <c r="J5" s="3"/>
      <c r="N5" s="7"/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11501</v>
      </c>
      <c r="H6" s="7">
        <v>11787</v>
      </c>
      <c r="I6" s="7">
        <f t="shared" si="0"/>
        <v>-286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>
        <f t="shared" si="0"/>
        <v>0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18962</v>
      </c>
      <c r="H8" s="7">
        <v>19652</v>
      </c>
      <c r="I8" s="7">
        <f t="shared" si="0"/>
        <v>-690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48365</v>
      </c>
      <c r="H9" s="7">
        <v>51544</v>
      </c>
      <c r="I9" s="7">
        <f t="shared" si="0"/>
        <v>-3179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54824</v>
      </c>
      <c r="H10" s="7">
        <v>62874</v>
      </c>
      <c r="I10" s="7">
        <f t="shared" si="0"/>
        <v>-8050</v>
      </c>
      <c r="J10" s="3"/>
      <c r="N10" s="17">
        <f>SUM(N5:N9)</f>
        <v>29000</v>
      </c>
      <c r="O10" s="8"/>
    </row>
    <row r="11" spans="1:33" ht="15" thickTop="1" x14ac:dyDescent="0.35">
      <c r="D11" s="8" t="s">
        <v>119</v>
      </c>
      <c r="F11" t="s">
        <v>14</v>
      </c>
      <c r="G11" s="7">
        <v>13988</v>
      </c>
      <c r="H11" s="7">
        <v>18881</v>
      </c>
      <c r="I11" s="7">
        <f t="shared" si="0"/>
        <v>-4893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341770-G20</f>
        <v>24636</v>
      </c>
      <c r="H12" s="7">
        <f>343670-317001</f>
        <v>26669</v>
      </c>
      <c r="I12" s="7">
        <f t="shared" si="0"/>
        <v>-2033</v>
      </c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>
        <f t="shared" si="0"/>
        <v>0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>
        <f t="shared" si="0"/>
        <v>0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101000</v>
      </c>
      <c r="H15" s="7">
        <v>103000</v>
      </c>
      <c r="I15" s="7">
        <f t="shared" si="0"/>
        <v>-2000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>
        <f t="shared" si="0"/>
        <v>0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>
        <f t="shared" si="0"/>
        <v>0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>
        <f t="shared" si="0"/>
        <v>0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60000</v>
      </c>
      <c r="H19" s="7">
        <v>60000</v>
      </c>
      <c r="I19" s="7">
        <f t="shared" si="0"/>
        <v>0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317134</v>
      </c>
      <c r="H20" s="7">
        <v>317001</v>
      </c>
      <c r="I20" s="7">
        <f t="shared" si="0"/>
        <v>133</v>
      </c>
      <c r="J20" s="3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888840</v>
      </c>
      <c r="H26" s="22">
        <f>SUM(H4:H25)</f>
        <v>909580</v>
      </c>
      <c r="I26" s="7">
        <f>G26-H26</f>
        <v>-20740</v>
      </c>
      <c r="J26">
        <f>I26/H26*100</f>
        <v>-2.2801732667824712</v>
      </c>
      <c r="AA26">
        <v>1155</v>
      </c>
    </row>
    <row r="27" spans="1:28" ht="15" thickTop="1" x14ac:dyDescent="0.35">
      <c r="N27" s="7">
        <f>N10+N21+N17</f>
        <v>236817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236817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613817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2C9A-6F78-49A5-A54F-D74EC4333CFC}">
  <dimension ref="A1:AG72"/>
  <sheetViews>
    <sheetView workbookViewId="0">
      <selection sqref="A1:XFD1048576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1.26953125" bestFit="1" customWidth="1"/>
    <col min="8" max="9" width="10.7265625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90625" bestFit="1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>
        <v>201</v>
      </c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46053</v>
      </c>
      <c r="H3" s="32">
        <v>46022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48573+29058</f>
        <v>77631</v>
      </c>
      <c r="H4" s="7">
        <f>47689+28509</f>
        <v>76198</v>
      </c>
      <c r="I4" s="7">
        <f>G4-H4</f>
        <v>1433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 s="7">
        <f>43890+30396</f>
        <v>74286</v>
      </c>
      <c r="H5" s="7">
        <f>43063+29169</f>
        <v>72232</v>
      </c>
      <c r="I5" s="7">
        <f t="shared" ref="I5:I20" si="0">G5-H5</f>
        <v>2054</v>
      </c>
      <c r="J5" s="3"/>
      <c r="K5" t="s">
        <v>15</v>
      </c>
      <c r="N5" s="7">
        <v>15000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7">
        <v>11352</v>
      </c>
      <c r="H6" s="7">
        <v>11501</v>
      </c>
      <c r="I6" s="7">
        <f t="shared" si="0"/>
        <v>-149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148</v>
      </c>
      <c r="F7" t="s">
        <v>14</v>
      </c>
      <c r="G7" s="7"/>
      <c r="H7" s="7"/>
      <c r="I7" s="7">
        <f t="shared" si="0"/>
        <v>0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27</v>
      </c>
      <c r="F8" t="s">
        <v>14</v>
      </c>
      <c r="G8" s="7">
        <v>20144</v>
      </c>
      <c r="H8" s="7">
        <v>18962</v>
      </c>
      <c r="I8" s="7">
        <f t="shared" si="0"/>
        <v>1182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8" t="s">
        <v>169</v>
      </c>
      <c r="F9" t="s">
        <v>11</v>
      </c>
      <c r="G9" s="7">
        <v>49161</v>
      </c>
      <c r="H9" s="7">
        <v>48365</v>
      </c>
      <c r="I9" s="7">
        <f t="shared" si="0"/>
        <v>796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8" t="s">
        <v>171</v>
      </c>
      <c r="F10" t="s">
        <v>11</v>
      </c>
      <c r="G10" s="7">
        <v>55172</v>
      </c>
      <c r="H10" s="7">
        <v>54824</v>
      </c>
      <c r="I10" s="7">
        <f t="shared" si="0"/>
        <v>348</v>
      </c>
      <c r="J10" s="3"/>
      <c r="N10" s="17">
        <f>SUM(N5:N9)</f>
        <v>44000</v>
      </c>
      <c r="O10" s="8"/>
    </row>
    <row r="11" spans="1:33" ht="15" thickTop="1" x14ac:dyDescent="0.35">
      <c r="D11" s="8" t="s">
        <v>119</v>
      </c>
      <c r="F11" t="s">
        <v>14</v>
      </c>
      <c r="G11" s="7">
        <v>16659</v>
      </c>
      <c r="H11" s="7">
        <v>13988</v>
      </c>
      <c r="I11" s="7">
        <f t="shared" si="0"/>
        <v>2671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8" t="s">
        <v>172</v>
      </c>
      <c r="F12" t="s">
        <v>14</v>
      </c>
      <c r="G12" s="7">
        <f>286447-255817</f>
        <v>30630</v>
      </c>
      <c r="H12" s="7">
        <f>341770-H20</f>
        <v>24636</v>
      </c>
      <c r="I12" s="7">
        <f t="shared" si="0"/>
        <v>5994</v>
      </c>
      <c r="J12" s="3"/>
      <c r="K12" s="3"/>
      <c r="O12" s="8"/>
    </row>
    <row r="13" spans="1:33" x14ac:dyDescent="0.35">
      <c r="D13" s="8" t="s">
        <v>31</v>
      </c>
      <c r="E13" t="s">
        <v>32</v>
      </c>
      <c r="F13" t="s">
        <v>164</v>
      </c>
      <c r="G13" s="5"/>
      <c r="H13" s="5"/>
      <c r="I13" s="7">
        <f t="shared" si="0"/>
        <v>0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8" t="s">
        <v>170</v>
      </c>
      <c r="F14" t="s">
        <v>14</v>
      </c>
      <c r="G14" s="7">
        <v>40000</v>
      </c>
      <c r="H14" s="7">
        <v>40000</v>
      </c>
      <c r="I14" s="7">
        <f t="shared" si="0"/>
        <v>0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8" t="s">
        <v>161</v>
      </c>
      <c r="F15" t="s">
        <v>164</v>
      </c>
      <c r="G15" s="7">
        <v>78175</v>
      </c>
      <c r="H15" s="7">
        <v>101000</v>
      </c>
      <c r="I15" s="7">
        <f t="shared" si="0"/>
        <v>-22825</v>
      </c>
      <c r="J15" s="4"/>
      <c r="K15" s="8" t="s">
        <v>122</v>
      </c>
      <c r="O15" s="8"/>
    </row>
    <row r="16" spans="1:33" x14ac:dyDescent="0.35">
      <c r="C16">
        <v>2012</v>
      </c>
      <c r="D16" s="8" t="s">
        <v>162</v>
      </c>
      <c r="F16" t="s">
        <v>14</v>
      </c>
      <c r="G16" s="24"/>
      <c r="H16" s="24"/>
      <c r="I16" s="7">
        <f t="shared" si="0"/>
        <v>0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163</v>
      </c>
      <c r="F17" t="s">
        <v>11</v>
      </c>
      <c r="G17" s="24"/>
      <c r="H17" s="24"/>
      <c r="I17" s="7">
        <f t="shared" si="0"/>
        <v>0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t="s">
        <v>35</v>
      </c>
      <c r="E18" t="s">
        <v>36</v>
      </c>
      <c r="F18" t="s">
        <v>11</v>
      </c>
      <c r="G18" s="7">
        <v>50000</v>
      </c>
      <c r="H18" s="7">
        <v>50000</v>
      </c>
      <c r="I18" s="7">
        <f t="shared" si="0"/>
        <v>0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14</v>
      </c>
      <c r="G19" s="7">
        <v>60000</v>
      </c>
      <c r="H19" s="7">
        <v>60000</v>
      </c>
      <c r="I19" s="7">
        <f t="shared" si="0"/>
        <v>0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168</v>
      </c>
      <c r="F20" t="s">
        <v>14</v>
      </c>
      <c r="G20" s="7">
        <v>255817</v>
      </c>
      <c r="H20" s="7">
        <v>317134</v>
      </c>
      <c r="I20" s="7">
        <f t="shared" si="0"/>
        <v>-61317</v>
      </c>
      <c r="J20" s="3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I21" s="18"/>
      <c r="J21" s="3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D22" s="14"/>
      <c r="E22" s="20"/>
      <c r="F22" s="14"/>
      <c r="I22" s="18"/>
      <c r="J22" s="14"/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D23" s="14"/>
      <c r="E23" s="21"/>
      <c r="F23" s="14"/>
      <c r="I23" s="18"/>
      <c r="J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x14ac:dyDescent="0.35">
      <c r="J24">
        <v>33</v>
      </c>
      <c r="K24" s="14" t="s">
        <v>51</v>
      </c>
      <c r="L24" s="21" t="s">
        <v>54</v>
      </c>
      <c r="M24" s="14"/>
      <c r="N24" s="14"/>
    </row>
    <row r="25" spans="1:28" ht="15" thickBot="1" x14ac:dyDescent="0.4">
      <c r="N25" s="17">
        <f>SUM(N22:N24)</f>
        <v>0</v>
      </c>
    </row>
    <row r="26" spans="1:28" ht="15.5" thickTop="1" thickBot="1" x14ac:dyDescent="0.4">
      <c r="D26" s="3" t="s">
        <v>46</v>
      </c>
      <c r="G26" s="22">
        <f>SUM(G4:G25)</f>
        <v>819027</v>
      </c>
      <c r="H26" s="22">
        <f>SUM(H4:H25)</f>
        <v>888840</v>
      </c>
      <c r="I26" s="7">
        <f>G26-H26</f>
        <v>-69813</v>
      </c>
      <c r="J26">
        <f>I26/H26*100</f>
        <v>-7.8543944916970432</v>
      </c>
      <c r="AA26">
        <v>1155</v>
      </c>
    </row>
    <row r="27" spans="1:28" ht="15" thickTop="1" x14ac:dyDescent="0.35">
      <c r="N27" s="7">
        <f>N10+N21+N17</f>
        <v>251817</v>
      </c>
      <c r="R27">
        <v>900</v>
      </c>
      <c r="AA27">
        <v>80.13</v>
      </c>
    </row>
    <row r="28" spans="1:28" ht="15" thickBot="1" x14ac:dyDescent="0.4">
      <c r="D28" s="8" t="s">
        <v>55</v>
      </c>
      <c r="G28" s="22"/>
      <c r="H28" s="22"/>
      <c r="I28" s="4"/>
      <c r="L28">
        <v>77</v>
      </c>
      <c r="AB28">
        <f>AA27*AA26</f>
        <v>92550.15</v>
      </c>
    </row>
    <row r="29" spans="1:28" ht="15" thickTop="1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G28+G33-G35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251817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628817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10CD-631E-4443-9780-31AEEC4483E1}">
  <dimension ref="A1:AG72"/>
  <sheetViews>
    <sheetView tabSelected="1" workbookViewId="0">
      <selection activeCell="I29" sqref="I29"/>
    </sheetView>
  </sheetViews>
  <sheetFormatPr defaultRowHeight="14.5" x14ac:dyDescent="0.35"/>
  <cols>
    <col min="1" max="1" width="5.6328125" bestFit="1" customWidth="1"/>
    <col min="2" max="2" width="4.81640625" bestFit="1" customWidth="1"/>
    <col min="3" max="3" width="6.81640625" bestFit="1" customWidth="1"/>
    <col min="4" max="4" width="30.90625" bestFit="1" customWidth="1"/>
    <col min="5" max="5" width="14.54296875" customWidth="1"/>
    <col min="6" max="6" width="4.7265625" bestFit="1" customWidth="1"/>
    <col min="7" max="7" width="11.26953125" bestFit="1" customWidth="1"/>
    <col min="8" max="9" width="10.7265625" customWidth="1"/>
    <col min="10" max="10" width="6.90625" bestFit="1" customWidth="1"/>
    <col min="11" max="11" width="15.453125" customWidth="1"/>
    <col min="12" max="12" width="8.08984375" customWidth="1"/>
    <col min="13" max="13" width="4.7265625" customWidth="1"/>
    <col min="14" max="14" width="7.90625" bestFit="1" customWidth="1"/>
    <col min="15" max="15" width="9.36328125" customWidth="1"/>
    <col min="16" max="16" width="11.81640625" bestFit="1" customWidth="1"/>
    <col min="17" max="17" width="12.90625" bestFit="1" customWidth="1"/>
    <col min="18" max="18" width="8" bestFit="1" customWidth="1"/>
    <col min="19" max="19" width="14.6328125" bestFit="1" customWidth="1"/>
    <col min="20" max="21" width="8" bestFit="1" customWidth="1"/>
    <col min="22" max="22" width="4.81640625" bestFit="1" customWidth="1"/>
    <col min="23" max="23" width="5.81640625" bestFit="1" customWidth="1"/>
    <col min="24" max="24" width="11.81640625" bestFit="1" customWidth="1"/>
    <col min="25" max="25" width="3.81640625" bestFit="1" customWidth="1"/>
    <col min="26" max="26" width="7.81640625" bestFit="1" customWidth="1"/>
    <col min="27" max="27" width="10.1796875" bestFit="1" customWidth="1"/>
    <col min="28" max="28" width="10.26953125" bestFit="1" customWidth="1"/>
    <col min="32" max="32" width="5.81640625" bestFit="1" customWidth="1"/>
    <col min="33" max="33" width="6.81640625" bestFit="1" customWidth="1"/>
    <col min="261" max="261" width="14.453125" customWidth="1"/>
    <col min="262" max="262" width="13.7265625" customWidth="1"/>
    <col min="264" max="264" width="10.54296875" customWidth="1"/>
    <col min="517" max="517" width="14.453125" customWidth="1"/>
    <col min="518" max="518" width="13.7265625" customWidth="1"/>
    <col min="520" max="520" width="10.54296875" customWidth="1"/>
    <col min="773" max="773" width="14.453125" customWidth="1"/>
    <col min="774" max="774" width="13.7265625" customWidth="1"/>
    <col min="776" max="776" width="10.54296875" customWidth="1"/>
    <col min="1029" max="1029" width="14.453125" customWidth="1"/>
    <col min="1030" max="1030" width="13.7265625" customWidth="1"/>
    <col min="1032" max="1032" width="10.54296875" customWidth="1"/>
    <col min="1285" max="1285" width="14.453125" customWidth="1"/>
    <col min="1286" max="1286" width="13.7265625" customWidth="1"/>
    <col min="1288" max="1288" width="10.54296875" customWidth="1"/>
    <col min="1541" max="1541" width="14.453125" customWidth="1"/>
    <col min="1542" max="1542" width="13.7265625" customWidth="1"/>
    <col min="1544" max="1544" width="10.54296875" customWidth="1"/>
    <col min="1797" max="1797" width="14.453125" customWidth="1"/>
    <col min="1798" max="1798" width="13.7265625" customWidth="1"/>
    <col min="1800" max="1800" width="10.54296875" customWidth="1"/>
    <col min="2053" max="2053" width="14.453125" customWidth="1"/>
    <col min="2054" max="2054" width="13.7265625" customWidth="1"/>
    <col min="2056" max="2056" width="10.54296875" customWidth="1"/>
    <col min="2309" max="2309" width="14.453125" customWidth="1"/>
    <col min="2310" max="2310" width="13.7265625" customWidth="1"/>
    <col min="2312" max="2312" width="10.54296875" customWidth="1"/>
    <col min="2565" max="2565" width="14.453125" customWidth="1"/>
    <col min="2566" max="2566" width="13.7265625" customWidth="1"/>
    <col min="2568" max="2568" width="10.54296875" customWidth="1"/>
    <col min="2821" max="2821" width="14.453125" customWidth="1"/>
    <col min="2822" max="2822" width="13.7265625" customWidth="1"/>
    <col min="2824" max="2824" width="10.54296875" customWidth="1"/>
    <col min="3077" max="3077" width="14.453125" customWidth="1"/>
    <col min="3078" max="3078" width="13.7265625" customWidth="1"/>
    <col min="3080" max="3080" width="10.54296875" customWidth="1"/>
    <col min="3333" max="3333" width="14.453125" customWidth="1"/>
    <col min="3334" max="3334" width="13.7265625" customWidth="1"/>
    <col min="3336" max="3336" width="10.54296875" customWidth="1"/>
    <col min="3589" max="3589" width="14.453125" customWidth="1"/>
    <col min="3590" max="3590" width="13.7265625" customWidth="1"/>
    <col min="3592" max="3592" width="10.54296875" customWidth="1"/>
    <col min="3845" max="3845" width="14.453125" customWidth="1"/>
    <col min="3846" max="3846" width="13.7265625" customWidth="1"/>
    <col min="3848" max="3848" width="10.54296875" customWidth="1"/>
    <col min="4101" max="4101" width="14.453125" customWidth="1"/>
    <col min="4102" max="4102" width="13.7265625" customWidth="1"/>
    <col min="4104" max="4104" width="10.54296875" customWidth="1"/>
    <col min="4357" max="4357" width="14.453125" customWidth="1"/>
    <col min="4358" max="4358" width="13.7265625" customWidth="1"/>
    <col min="4360" max="4360" width="10.54296875" customWidth="1"/>
    <col min="4613" max="4613" width="14.453125" customWidth="1"/>
    <col min="4614" max="4614" width="13.7265625" customWidth="1"/>
    <col min="4616" max="4616" width="10.54296875" customWidth="1"/>
    <col min="4869" max="4869" width="14.453125" customWidth="1"/>
    <col min="4870" max="4870" width="13.7265625" customWidth="1"/>
    <col min="4872" max="4872" width="10.54296875" customWidth="1"/>
    <col min="5125" max="5125" width="14.453125" customWidth="1"/>
    <col min="5126" max="5126" width="13.7265625" customWidth="1"/>
    <col min="5128" max="5128" width="10.54296875" customWidth="1"/>
    <col min="5381" max="5381" width="14.453125" customWidth="1"/>
    <col min="5382" max="5382" width="13.7265625" customWidth="1"/>
    <col min="5384" max="5384" width="10.54296875" customWidth="1"/>
    <col min="5637" max="5637" width="14.453125" customWidth="1"/>
    <col min="5638" max="5638" width="13.7265625" customWidth="1"/>
    <col min="5640" max="5640" width="10.54296875" customWidth="1"/>
    <col min="5893" max="5893" width="14.453125" customWidth="1"/>
    <col min="5894" max="5894" width="13.7265625" customWidth="1"/>
    <col min="5896" max="5896" width="10.54296875" customWidth="1"/>
    <col min="6149" max="6149" width="14.453125" customWidth="1"/>
    <col min="6150" max="6150" width="13.7265625" customWidth="1"/>
    <col min="6152" max="6152" width="10.54296875" customWidth="1"/>
    <col min="6405" max="6405" width="14.453125" customWidth="1"/>
    <col min="6406" max="6406" width="13.7265625" customWidth="1"/>
    <col min="6408" max="6408" width="10.54296875" customWidth="1"/>
    <col min="6661" max="6661" width="14.453125" customWidth="1"/>
    <col min="6662" max="6662" width="13.7265625" customWidth="1"/>
    <col min="6664" max="6664" width="10.54296875" customWidth="1"/>
    <col min="6917" max="6917" width="14.453125" customWidth="1"/>
    <col min="6918" max="6918" width="13.7265625" customWidth="1"/>
    <col min="6920" max="6920" width="10.54296875" customWidth="1"/>
    <col min="7173" max="7173" width="14.453125" customWidth="1"/>
    <col min="7174" max="7174" width="13.7265625" customWidth="1"/>
    <col min="7176" max="7176" width="10.54296875" customWidth="1"/>
    <col min="7429" max="7429" width="14.453125" customWidth="1"/>
    <col min="7430" max="7430" width="13.7265625" customWidth="1"/>
    <col min="7432" max="7432" width="10.54296875" customWidth="1"/>
    <col min="7685" max="7685" width="14.453125" customWidth="1"/>
    <col min="7686" max="7686" width="13.7265625" customWidth="1"/>
    <col min="7688" max="7688" width="10.54296875" customWidth="1"/>
    <col min="7941" max="7941" width="14.453125" customWidth="1"/>
    <col min="7942" max="7942" width="13.7265625" customWidth="1"/>
    <col min="7944" max="7944" width="10.54296875" customWidth="1"/>
    <col min="8197" max="8197" width="14.453125" customWidth="1"/>
    <col min="8198" max="8198" width="13.7265625" customWidth="1"/>
    <col min="8200" max="8200" width="10.54296875" customWidth="1"/>
    <col min="8453" max="8453" width="14.453125" customWidth="1"/>
    <col min="8454" max="8454" width="13.7265625" customWidth="1"/>
    <col min="8456" max="8456" width="10.54296875" customWidth="1"/>
    <col min="8709" max="8709" width="14.453125" customWidth="1"/>
    <col min="8710" max="8710" width="13.7265625" customWidth="1"/>
    <col min="8712" max="8712" width="10.54296875" customWidth="1"/>
    <col min="8965" max="8965" width="14.453125" customWidth="1"/>
    <col min="8966" max="8966" width="13.7265625" customWidth="1"/>
    <col min="8968" max="8968" width="10.54296875" customWidth="1"/>
    <col min="9221" max="9221" width="14.453125" customWidth="1"/>
    <col min="9222" max="9222" width="13.7265625" customWidth="1"/>
    <col min="9224" max="9224" width="10.54296875" customWidth="1"/>
    <col min="9477" max="9477" width="14.453125" customWidth="1"/>
    <col min="9478" max="9478" width="13.7265625" customWidth="1"/>
    <col min="9480" max="9480" width="10.54296875" customWidth="1"/>
    <col min="9733" max="9733" width="14.453125" customWidth="1"/>
    <col min="9734" max="9734" width="13.7265625" customWidth="1"/>
    <col min="9736" max="9736" width="10.54296875" customWidth="1"/>
    <col min="9989" max="9989" width="14.453125" customWidth="1"/>
    <col min="9990" max="9990" width="13.7265625" customWidth="1"/>
    <col min="9992" max="9992" width="10.54296875" customWidth="1"/>
    <col min="10245" max="10245" width="14.453125" customWidth="1"/>
    <col min="10246" max="10246" width="13.7265625" customWidth="1"/>
    <col min="10248" max="10248" width="10.54296875" customWidth="1"/>
    <col min="10501" max="10501" width="14.453125" customWidth="1"/>
    <col min="10502" max="10502" width="13.7265625" customWidth="1"/>
    <col min="10504" max="10504" width="10.54296875" customWidth="1"/>
    <col min="10757" max="10757" width="14.453125" customWidth="1"/>
    <col min="10758" max="10758" width="13.7265625" customWidth="1"/>
    <col min="10760" max="10760" width="10.54296875" customWidth="1"/>
    <col min="11013" max="11013" width="14.453125" customWidth="1"/>
    <col min="11014" max="11014" width="13.7265625" customWidth="1"/>
    <col min="11016" max="11016" width="10.54296875" customWidth="1"/>
    <col min="11269" max="11269" width="14.453125" customWidth="1"/>
    <col min="11270" max="11270" width="13.7265625" customWidth="1"/>
    <col min="11272" max="11272" width="10.54296875" customWidth="1"/>
    <col min="11525" max="11525" width="14.453125" customWidth="1"/>
    <col min="11526" max="11526" width="13.7265625" customWidth="1"/>
    <col min="11528" max="11528" width="10.54296875" customWidth="1"/>
    <col min="11781" max="11781" width="14.453125" customWidth="1"/>
    <col min="11782" max="11782" width="13.7265625" customWidth="1"/>
    <col min="11784" max="11784" width="10.54296875" customWidth="1"/>
    <col min="12037" max="12037" width="14.453125" customWidth="1"/>
    <col min="12038" max="12038" width="13.7265625" customWidth="1"/>
    <col min="12040" max="12040" width="10.54296875" customWidth="1"/>
    <col min="12293" max="12293" width="14.453125" customWidth="1"/>
    <col min="12294" max="12294" width="13.7265625" customWidth="1"/>
    <col min="12296" max="12296" width="10.54296875" customWidth="1"/>
    <col min="12549" max="12549" width="14.453125" customWidth="1"/>
    <col min="12550" max="12550" width="13.7265625" customWidth="1"/>
    <col min="12552" max="12552" width="10.54296875" customWidth="1"/>
    <col min="12805" max="12805" width="14.453125" customWidth="1"/>
    <col min="12806" max="12806" width="13.7265625" customWidth="1"/>
    <col min="12808" max="12808" width="10.54296875" customWidth="1"/>
    <col min="13061" max="13061" width="14.453125" customWidth="1"/>
    <col min="13062" max="13062" width="13.7265625" customWidth="1"/>
    <col min="13064" max="13064" width="10.54296875" customWidth="1"/>
    <col min="13317" max="13317" width="14.453125" customWidth="1"/>
    <col min="13318" max="13318" width="13.7265625" customWidth="1"/>
    <col min="13320" max="13320" width="10.54296875" customWidth="1"/>
    <col min="13573" max="13573" width="14.453125" customWidth="1"/>
    <col min="13574" max="13574" width="13.7265625" customWidth="1"/>
    <col min="13576" max="13576" width="10.54296875" customWidth="1"/>
    <col min="13829" max="13829" width="14.453125" customWidth="1"/>
    <col min="13830" max="13830" width="13.7265625" customWidth="1"/>
    <col min="13832" max="13832" width="10.54296875" customWidth="1"/>
    <col min="14085" max="14085" width="14.453125" customWidth="1"/>
    <col min="14086" max="14086" width="13.7265625" customWidth="1"/>
    <col min="14088" max="14088" width="10.54296875" customWidth="1"/>
    <col min="14341" max="14341" width="14.453125" customWidth="1"/>
    <col min="14342" max="14342" width="13.7265625" customWidth="1"/>
    <col min="14344" max="14344" width="10.54296875" customWidth="1"/>
    <col min="14597" max="14597" width="14.453125" customWidth="1"/>
    <col min="14598" max="14598" width="13.7265625" customWidth="1"/>
    <col min="14600" max="14600" width="10.54296875" customWidth="1"/>
    <col min="14853" max="14853" width="14.453125" customWidth="1"/>
    <col min="14854" max="14854" width="13.7265625" customWidth="1"/>
    <col min="14856" max="14856" width="10.54296875" customWidth="1"/>
    <col min="15109" max="15109" width="14.453125" customWidth="1"/>
    <col min="15110" max="15110" width="13.7265625" customWidth="1"/>
    <col min="15112" max="15112" width="10.54296875" customWidth="1"/>
    <col min="15365" max="15365" width="14.453125" customWidth="1"/>
    <col min="15366" max="15366" width="13.7265625" customWidth="1"/>
    <col min="15368" max="15368" width="10.54296875" customWidth="1"/>
    <col min="15621" max="15621" width="14.453125" customWidth="1"/>
    <col min="15622" max="15622" width="13.7265625" customWidth="1"/>
    <col min="15624" max="15624" width="10.54296875" customWidth="1"/>
    <col min="15877" max="15877" width="14.453125" customWidth="1"/>
    <col min="15878" max="15878" width="13.7265625" customWidth="1"/>
    <col min="15880" max="15880" width="10.54296875" customWidth="1"/>
    <col min="16133" max="16133" width="14.453125" customWidth="1"/>
    <col min="16134" max="16134" width="13.7265625" customWidth="1"/>
    <col min="16136" max="16136" width="10.54296875" customWidth="1"/>
  </cols>
  <sheetData>
    <row r="1" spans="1:33" x14ac:dyDescent="0.35">
      <c r="A1" s="1"/>
    </row>
    <row r="2" spans="1:33" ht="17.5" customHeight="1" x14ac:dyDescent="0.35">
      <c r="D2" t="s">
        <v>0</v>
      </c>
      <c r="G2" s="2" t="s">
        <v>1</v>
      </c>
      <c r="K2" t="s">
        <v>2</v>
      </c>
      <c r="O2">
        <v>524438</v>
      </c>
      <c r="P2" t="s">
        <v>116</v>
      </c>
    </row>
    <row r="3" spans="1:33" x14ac:dyDescent="0.35">
      <c r="A3" s="34"/>
      <c r="D3" s="3" t="s">
        <v>3</v>
      </c>
      <c r="E3" s="3" t="s">
        <v>4</v>
      </c>
      <c r="F3" s="3" t="s">
        <v>5</v>
      </c>
      <c r="G3" s="32">
        <v>46081</v>
      </c>
      <c r="H3" s="32">
        <v>46053</v>
      </c>
      <c r="I3" s="32"/>
      <c r="J3" s="3"/>
      <c r="K3" s="3" t="s">
        <v>3</v>
      </c>
      <c r="L3" s="3" t="s">
        <v>4</v>
      </c>
      <c r="M3" s="3" t="s">
        <v>5</v>
      </c>
      <c r="N3" s="4" t="s">
        <v>6</v>
      </c>
      <c r="R3" t="s">
        <v>7</v>
      </c>
      <c r="S3" t="s">
        <v>8</v>
      </c>
    </row>
    <row r="4" spans="1:33" x14ac:dyDescent="0.35">
      <c r="B4">
        <f>488+743</f>
        <v>1231</v>
      </c>
      <c r="D4" t="s">
        <v>9</v>
      </c>
      <c r="E4" t="s">
        <v>10</v>
      </c>
      <c r="F4" t="s">
        <v>11</v>
      </c>
      <c r="G4" s="7">
        <f>49226+29588</f>
        <v>78814</v>
      </c>
      <c r="H4" s="7">
        <f>48573+29058</f>
        <v>77631</v>
      </c>
      <c r="I4" s="7">
        <f>G4-H4</f>
        <v>1183</v>
      </c>
      <c r="J4" s="3" t="s">
        <v>11</v>
      </c>
      <c r="K4" s="36" t="s">
        <v>105</v>
      </c>
      <c r="R4" s="7" t="e">
        <f>#REF!-S4</f>
        <v>#REF!</v>
      </c>
      <c r="S4" s="7" t="e">
        <f>SUM(#REF!)</f>
        <v>#REF!</v>
      </c>
      <c r="U4">
        <v>130</v>
      </c>
      <c r="W4">
        <v>102.8</v>
      </c>
      <c r="X4" t="s">
        <v>13</v>
      </c>
    </row>
    <row r="5" spans="1:33" x14ac:dyDescent="0.35">
      <c r="B5">
        <f>504+803</f>
        <v>1307</v>
      </c>
      <c r="D5" t="s">
        <v>9</v>
      </c>
      <c r="E5" t="s">
        <v>10</v>
      </c>
      <c r="F5" t="s">
        <v>14</v>
      </c>
      <c r="G5">
        <f>44500+31688</f>
        <v>76188</v>
      </c>
      <c r="H5" s="7">
        <f>43890+30396</f>
        <v>74286</v>
      </c>
      <c r="I5" s="7">
        <f>G5-H5</f>
        <v>1902</v>
      </c>
      <c r="J5" s="3"/>
      <c r="K5" t="s">
        <v>15</v>
      </c>
      <c r="N5" s="7">
        <v>0</v>
      </c>
      <c r="Q5" t="s">
        <v>16</v>
      </c>
      <c r="U5">
        <v>71</v>
      </c>
      <c r="W5">
        <v>1.125</v>
      </c>
      <c r="X5" t="s">
        <v>17</v>
      </c>
      <c r="AF5" t="s">
        <v>18</v>
      </c>
      <c r="AG5">
        <v>100000</v>
      </c>
    </row>
    <row r="6" spans="1:33" x14ac:dyDescent="0.35">
      <c r="D6" s="8" t="s">
        <v>19</v>
      </c>
      <c r="F6" t="s">
        <v>14</v>
      </c>
      <c r="G6" s="5">
        <v>11352</v>
      </c>
      <c r="H6" s="7">
        <v>11352</v>
      </c>
      <c r="I6" s="7">
        <f t="shared" ref="I6:I15" si="0">G6-H6</f>
        <v>0</v>
      </c>
      <c r="J6" s="3"/>
      <c r="K6" s="8" t="s">
        <v>20</v>
      </c>
      <c r="N6" s="7">
        <v>5000</v>
      </c>
      <c r="O6" s="8" t="s">
        <v>21</v>
      </c>
      <c r="P6" t="s">
        <v>11</v>
      </c>
      <c r="Q6" t="s">
        <v>22</v>
      </c>
      <c r="R6" s="7" t="e">
        <f>#REF!+#REF!+#REF!+#REF!+#REF!</f>
        <v>#REF!</v>
      </c>
      <c r="U6">
        <f>U4-U5</f>
        <v>59</v>
      </c>
      <c r="AF6" t="s">
        <v>23</v>
      </c>
      <c r="AG6">
        <v>85000</v>
      </c>
    </row>
    <row r="7" spans="1:33" x14ac:dyDescent="0.35">
      <c r="C7" t="s">
        <v>24</v>
      </c>
      <c r="D7" s="8" t="s">
        <v>189</v>
      </c>
      <c r="F7" t="s">
        <v>14</v>
      </c>
      <c r="G7" s="7">
        <v>31245</v>
      </c>
      <c r="H7" s="7"/>
      <c r="I7" s="7">
        <f t="shared" si="0"/>
        <v>31245</v>
      </c>
      <c r="J7" s="3"/>
      <c r="K7" t="s">
        <v>121</v>
      </c>
      <c r="N7">
        <v>2500</v>
      </c>
      <c r="Q7" t="s">
        <v>26</v>
      </c>
      <c r="R7" s="7" t="e">
        <f>SUM(#REF!)</f>
        <v>#REF!</v>
      </c>
    </row>
    <row r="8" spans="1:33" x14ac:dyDescent="0.35">
      <c r="C8" t="s">
        <v>24</v>
      </c>
      <c r="D8" s="8" t="s">
        <v>190</v>
      </c>
      <c r="F8" t="s">
        <v>14</v>
      </c>
      <c r="G8" s="7">
        <v>18870</v>
      </c>
      <c r="H8" s="7">
        <v>20144</v>
      </c>
      <c r="I8" s="7">
        <f t="shared" si="0"/>
        <v>-1274</v>
      </c>
      <c r="J8" s="3"/>
      <c r="K8" s="8" t="s">
        <v>93</v>
      </c>
      <c r="N8" s="7">
        <v>20000</v>
      </c>
      <c r="P8" t="s">
        <v>11</v>
      </c>
    </row>
    <row r="9" spans="1:33" x14ac:dyDescent="0.35">
      <c r="C9" t="s">
        <v>24</v>
      </c>
      <c r="D9" s="54" t="s">
        <v>169</v>
      </c>
      <c r="F9" t="s">
        <v>11</v>
      </c>
      <c r="G9" s="7">
        <v>32607</v>
      </c>
      <c r="H9" s="7">
        <v>49161</v>
      </c>
      <c r="I9" s="7">
        <f t="shared" si="0"/>
        <v>-16554</v>
      </c>
      <c r="J9" s="3" t="s">
        <v>11</v>
      </c>
      <c r="K9" t="s">
        <v>33</v>
      </c>
      <c r="N9" s="11">
        <v>1500</v>
      </c>
      <c r="O9" s="8"/>
      <c r="P9" t="s">
        <v>11</v>
      </c>
    </row>
    <row r="10" spans="1:33" ht="15" thickBot="1" x14ac:dyDescent="0.4">
      <c r="C10" t="s">
        <v>24</v>
      </c>
      <c r="D10" s="55" t="s">
        <v>193</v>
      </c>
      <c r="F10" t="s">
        <v>11</v>
      </c>
      <c r="G10" s="7">
        <v>14641</v>
      </c>
      <c r="I10" s="7">
        <f t="shared" si="0"/>
        <v>14641</v>
      </c>
      <c r="J10" s="3"/>
      <c r="N10" s="17">
        <f>SUM(N5:N9)</f>
        <v>29000</v>
      </c>
      <c r="O10" s="8"/>
    </row>
    <row r="11" spans="1:33" ht="15" thickTop="1" x14ac:dyDescent="0.35">
      <c r="D11" s="54" t="s">
        <v>171</v>
      </c>
      <c r="F11" t="s">
        <v>11</v>
      </c>
      <c r="G11" s="7">
        <v>26913</v>
      </c>
      <c r="H11" s="7">
        <v>55172</v>
      </c>
      <c r="I11" s="7">
        <f t="shared" si="0"/>
        <v>-28259</v>
      </c>
      <c r="J11" s="3"/>
      <c r="K11" s="3" t="s">
        <v>113</v>
      </c>
      <c r="O11" s="8"/>
      <c r="Q11">
        <f>170114-(2*64563)</f>
        <v>40988</v>
      </c>
    </row>
    <row r="12" spans="1:33" x14ac:dyDescent="0.35">
      <c r="D12" s="55" t="s">
        <v>191</v>
      </c>
      <c r="F12" t="s">
        <v>11</v>
      </c>
      <c r="G12" s="7">
        <v>26923</v>
      </c>
      <c r="I12" s="7">
        <f t="shared" si="0"/>
        <v>26923</v>
      </c>
      <c r="J12" s="3"/>
      <c r="K12" s="3"/>
      <c r="O12" s="8"/>
    </row>
    <row r="13" spans="1:33" x14ac:dyDescent="0.35">
      <c r="D13" s="54" t="s">
        <v>119</v>
      </c>
      <c r="F13" t="s">
        <v>14</v>
      </c>
      <c r="G13" s="7">
        <v>16175</v>
      </c>
      <c r="H13" s="7">
        <v>16659</v>
      </c>
      <c r="I13" s="7">
        <f t="shared" si="0"/>
        <v>-484</v>
      </c>
      <c r="J13" s="3" t="s">
        <v>11</v>
      </c>
      <c r="K13" t="s">
        <v>124</v>
      </c>
      <c r="N13">
        <v>85500</v>
      </c>
      <c r="O13" s="8"/>
      <c r="P13" s="12"/>
      <c r="S13">
        <f>14514*2</f>
        <v>29028</v>
      </c>
      <c r="AF13" t="s">
        <v>34</v>
      </c>
      <c r="AG13">
        <v>40000</v>
      </c>
    </row>
    <row r="14" spans="1:33" x14ac:dyDescent="0.35">
      <c r="D14" s="56" t="s">
        <v>192</v>
      </c>
      <c r="F14" t="s">
        <v>14</v>
      </c>
      <c r="G14" s="7">
        <v>127</v>
      </c>
      <c r="I14" s="7">
        <f t="shared" si="0"/>
        <v>127</v>
      </c>
      <c r="J14" s="3"/>
      <c r="K14" s="8" t="s">
        <v>14</v>
      </c>
      <c r="N14">
        <v>9000</v>
      </c>
      <c r="O14" s="8"/>
      <c r="AG14">
        <f>SUM(AG5:AG13)</f>
        <v>225000</v>
      </c>
    </row>
    <row r="15" spans="1:33" x14ac:dyDescent="0.35">
      <c r="C15">
        <v>105.06</v>
      </c>
      <c r="D15" s="54" t="s">
        <v>172</v>
      </c>
      <c r="F15" t="s">
        <v>14</v>
      </c>
      <c r="G15" s="7">
        <f>(235942-129401)-G16</f>
        <v>29783</v>
      </c>
      <c r="H15" s="7">
        <f>286447-255817</f>
        <v>30630</v>
      </c>
      <c r="I15" s="7">
        <f t="shared" si="0"/>
        <v>-847</v>
      </c>
      <c r="J15" s="4"/>
      <c r="K15" s="8" t="s">
        <v>122</v>
      </c>
      <c r="O15" s="8"/>
    </row>
    <row r="16" spans="1:33" x14ac:dyDescent="0.35">
      <c r="C16">
        <v>2012</v>
      </c>
      <c r="D16" s="55" t="s">
        <v>191</v>
      </c>
      <c r="F16" t="s">
        <v>14</v>
      </c>
      <c r="G16" s="5">
        <v>76758</v>
      </c>
      <c r="H16" s="5"/>
      <c r="I16" s="7">
        <f>G17-H17</f>
        <v>0</v>
      </c>
      <c r="J16" s="3"/>
      <c r="K16" s="8" t="s">
        <v>114</v>
      </c>
      <c r="N16">
        <v>11000</v>
      </c>
      <c r="R16">
        <v>81287</v>
      </c>
    </row>
    <row r="17" spans="1:28" ht="15" thickBot="1" x14ac:dyDescent="0.4">
      <c r="A17" s="8">
        <v>139.47999999999999</v>
      </c>
      <c r="B17" s="14"/>
      <c r="D17" s="8" t="s">
        <v>170</v>
      </c>
      <c r="F17" t="s">
        <v>14</v>
      </c>
      <c r="G17" s="7">
        <v>40000</v>
      </c>
      <c r="H17" s="7">
        <v>40000</v>
      </c>
      <c r="I17" s="7">
        <v>0</v>
      </c>
      <c r="J17" s="3"/>
      <c r="N17" s="17">
        <f>SUM(N13:N16)</f>
        <v>105500</v>
      </c>
      <c r="R17" t="e">
        <f>#REF!*2</f>
        <v>#REF!</v>
      </c>
    </row>
    <row r="18" spans="1:28" ht="15" thickTop="1" x14ac:dyDescent="0.35">
      <c r="A18" s="15"/>
      <c r="B18" s="15"/>
      <c r="C18" s="14">
        <v>0.67</v>
      </c>
      <c r="D18" s="8" t="s">
        <v>161</v>
      </c>
      <c r="F18" t="s">
        <v>164</v>
      </c>
      <c r="G18" s="7">
        <v>106005</v>
      </c>
      <c r="H18" s="7">
        <v>78175</v>
      </c>
      <c r="I18" s="7">
        <f>G18-H18</f>
        <v>27830</v>
      </c>
      <c r="J18" s="3"/>
      <c r="K18" s="3" t="s">
        <v>104</v>
      </c>
      <c r="L18" s="8"/>
      <c r="N18" s="7"/>
      <c r="R18" t="e">
        <f>R16-R17</f>
        <v>#REF!</v>
      </c>
      <c r="Y18">
        <f>SUM(A18:A20)</f>
        <v>0</v>
      </c>
      <c r="Z18">
        <f>Y18*W4</f>
        <v>0</v>
      </c>
    </row>
    <row r="19" spans="1:28" x14ac:dyDescent="0.35">
      <c r="A19" s="15"/>
      <c r="B19" s="15"/>
      <c r="C19">
        <v>10.52</v>
      </c>
      <c r="D19" t="s">
        <v>35</v>
      </c>
      <c r="E19" t="s">
        <v>36</v>
      </c>
      <c r="F19" t="s">
        <v>11</v>
      </c>
      <c r="G19" s="7">
        <v>50000</v>
      </c>
      <c r="H19" s="7">
        <v>50000</v>
      </c>
      <c r="I19" s="7">
        <f>G20-H20</f>
        <v>0</v>
      </c>
      <c r="J19" s="3"/>
      <c r="K19" s="8" t="s">
        <v>37</v>
      </c>
      <c r="L19" s="8" t="s">
        <v>38</v>
      </c>
      <c r="M19" t="s">
        <v>129</v>
      </c>
      <c r="N19" s="5">
        <f>38000+1500+2500+3317+3000</f>
        <v>48317</v>
      </c>
      <c r="P19" t="s">
        <v>186</v>
      </c>
    </row>
    <row r="20" spans="1:28" x14ac:dyDescent="0.35">
      <c r="A20" s="15"/>
      <c r="B20" s="15"/>
      <c r="C20" t="s">
        <v>173</v>
      </c>
      <c r="D20" t="s">
        <v>35</v>
      </c>
      <c r="E20" t="s">
        <v>36</v>
      </c>
      <c r="F20" t="s">
        <v>14</v>
      </c>
      <c r="G20" s="7">
        <v>60000</v>
      </c>
      <c r="H20" s="7">
        <v>60000</v>
      </c>
      <c r="I20" s="7">
        <f>G21-H21</f>
        <v>-126416</v>
      </c>
      <c r="J20" s="14"/>
      <c r="K20" s="8" t="s">
        <v>37</v>
      </c>
      <c r="L20" s="8" t="s">
        <v>43</v>
      </c>
      <c r="M20" t="s">
        <v>130</v>
      </c>
      <c r="N20" s="53">
        <f>38000+1500+2500+2500+4000+5500</f>
        <v>54000</v>
      </c>
      <c r="O20">
        <v>73707</v>
      </c>
    </row>
    <row r="21" spans="1:28" ht="15" thickBot="1" x14ac:dyDescent="0.4">
      <c r="A21" s="14"/>
      <c r="B21" s="14"/>
      <c r="C21" s="14"/>
      <c r="D21" t="s">
        <v>168</v>
      </c>
      <c r="F21" t="s">
        <v>14</v>
      </c>
      <c r="G21" s="7">
        <v>129401</v>
      </c>
      <c r="H21" s="7">
        <v>255817</v>
      </c>
      <c r="I21" s="18"/>
      <c r="J21" s="14"/>
      <c r="K21" s="8" t="s">
        <v>46</v>
      </c>
      <c r="N21" s="17">
        <f>SUM(N19:N20)</f>
        <v>102317</v>
      </c>
      <c r="O21" s="19">
        <v>42156</v>
      </c>
      <c r="Q21">
        <v>37666</v>
      </c>
      <c r="X21">
        <f>388*70/1.43</f>
        <v>18993.006993006995</v>
      </c>
    </row>
    <row r="22" spans="1:28" ht="15" thickTop="1" x14ac:dyDescent="0.35">
      <c r="A22" s="14"/>
      <c r="B22" s="14"/>
      <c r="C22" s="14"/>
      <c r="J22">
        <v>33</v>
      </c>
      <c r="K22" s="14" t="s">
        <v>51</v>
      </c>
      <c r="L22" s="14" t="s">
        <v>52</v>
      </c>
      <c r="M22" s="14"/>
      <c r="N22" s="14"/>
      <c r="O22" s="19">
        <v>41791</v>
      </c>
      <c r="Q22">
        <v>35143</v>
      </c>
    </row>
    <row r="23" spans="1:28" x14ac:dyDescent="0.35">
      <c r="A23" s="14"/>
      <c r="B23" s="14"/>
      <c r="C23" s="14"/>
      <c r="K23" s="14" t="s">
        <v>51</v>
      </c>
      <c r="L23" s="20" t="s">
        <v>53</v>
      </c>
      <c r="M23" s="14"/>
      <c r="N23" s="14"/>
      <c r="O23" s="19">
        <v>42583</v>
      </c>
    </row>
    <row r="24" spans="1:28" ht="15" thickBot="1" x14ac:dyDescent="0.4">
      <c r="D24" s="3" t="s">
        <v>46</v>
      </c>
      <c r="G24" s="22">
        <f>SUM(G4:G23)</f>
        <v>825802</v>
      </c>
      <c r="H24" s="22">
        <f>SUM(H4:H23)</f>
        <v>819027</v>
      </c>
      <c r="I24" s="7">
        <f>G24-H24</f>
        <v>6775</v>
      </c>
      <c r="J24">
        <f>I24/H24*100</f>
        <v>0.82720105686381518</v>
      </c>
      <c r="K24" s="14" t="s">
        <v>51</v>
      </c>
      <c r="L24" s="21" t="s">
        <v>54</v>
      </c>
      <c r="M24" s="14"/>
      <c r="N24" s="14"/>
    </row>
    <row r="25" spans="1:28" ht="15.5" thickTop="1" thickBot="1" x14ac:dyDescent="0.4">
      <c r="N25" s="17">
        <f>SUM(N22:N24)</f>
        <v>0</v>
      </c>
    </row>
    <row r="26" spans="1:28" ht="15.5" thickTop="1" thickBot="1" x14ac:dyDescent="0.4">
      <c r="D26" s="8" t="s">
        <v>55</v>
      </c>
      <c r="G26" s="22"/>
      <c r="H26" s="22"/>
      <c r="I26" s="4"/>
      <c r="AA26">
        <v>1155</v>
      </c>
    </row>
    <row r="27" spans="1:28" ht="15" thickTop="1" x14ac:dyDescent="0.35">
      <c r="N27" s="7">
        <f>N10+N21+N17</f>
        <v>236817</v>
      </c>
      <c r="R27">
        <v>900</v>
      </c>
      <c r="AA27">
        <v>80.13</v>
      </c>
    </row>
    <row r="28" spans="1:28" x14ac:dyDescent="0.35">
      <c r="L28">
        <v>77</v>
      </c>
      <c r="AB28">
        <f>AA27*AA26</f>
        <v>92550.15</v>
      </c>
    </row>
    <row r="29" spans="1:28" x14ac:dyDescent="0.35">
      <c r="D29" s="3" t="s">
        <v>56</v>
      </c>
      <c r="O29" s="8" t="s">
        <v>57</v>
      </c>
      <c r="P29" s="8" t="s">
        <v>58</v>
      </c>
      <c r="Q29" s="23" t="s">
        <v>58</v>
      </c>
      <c r="R29" s="23" t="s">
        <v>58</v>
      </c>
      <c r="S29" s="23" t="s">
        <v>58</v>
      </c>
      <c r="T29" s="23" t="s">
        <v>58</v>
      </c>
      <c r="U29" s="23" t="s">
        <v>58</v>
      </c>
      <c r="AA29">
        <v>1.5</v>
      </c>
      <c r="AB29">
        <f>AB28/AA29</f>
        <v>61700.1</v>
      </c>
    </row>
    <row r="30" spans="1:28" x14ac:dyDescent="0.35">
      <c r="D30" s="8" t="s">
        <v>59</v>
      </c>
      <c r="E30" s="8" t="s">
        <v>60</v>
      </c>
      <c r="G30">
        <v>0</v>
      </c>
      <c r="P30">
        <v>2015</v>
      </c>
      <c r="Q30" s="24">
        <v>2016</v>
      </c>
      <c r="R30" s="24">
        <v>2017</v>
      </c>
      <c r="S30" s="24">
        <v>2018</v>
      </c>
      <c r="T30" s="24">
        <v>2019</v>
      </c>
      <c r="U30" s="24">
        <v>2020</v>
      </c>
      <c r="V30">
        <f>U30+1</f>
        <v>2021</v>
      </c>
    </row>
    <row r="31" spans="1:28" x14ac:dyDescent="0.35">
      <c r="D31" s="8" t="s">
        <v>61</v>
      </c>
      <c r="G31">
        <v>15000</v>
      </c>
      <c r="O31" t="s">
        <v>62</v>
      </c>
      <c r="P31">
        <v>164433.05128205128</v>
      </c>
      <c r="Q31" s="5">
        <v>248589.40162966101</v>
      </c>
      <c r="R31" s="5">
        <v>314989.18799999997</v>
      </c>
      <c r="S31" s="5">
        <v>335945</v>
      </c>
      <c r="T31" s="5">
        <v>336562</v>
      </c>
      <c r="U31" s="5">
        <v>374989.18799999997</v>
      </c>
    </row>
    <row r="32" spans="1:28" x14ac:dyDescent="0.35">
      <c r="D32" s="8" t="s">
        <v>63</v>
      </c>
      <c r="G32">
        <v>2000</v>
      </c>
      <c r="P32" s="7">
        <v>0</v>
      </c>
      <c r="Q32" s="5">
        <v>0</v>
      </c>
      <c r="R32" s="5"/>
      <c r="S32" s="5"/>
      <c r="T32" s="5">
        <v>30000</v>
      </c>
      <c r="U32" s="5">
        <v>7000</v>
      </c>
    </row>
    <row r="33" spans="4:28" ht="15" thickBot="1" x14ac:dyDescent="0.4">
      <c r="G33" s="25">
        <f>SUM(G30:G32)</f>
        <v>17000</v>
      </c>
      <c r="O33" t="s">
        <v>64</v>
      </c>
      <c r="P33" s="7">
        <v>29028</v>
      </c>
      <c r="Q33" s="24"/>
      <c r="R33" s="5"/>
      <c r="S33" s="5"/>
      <c r="T33" s="5"/>
      <c r="U33" s="5"/>
    </row>
    <row r="34" spans="4:28" ht="15" thickTop="1" x14ac:dyDescent="0.35">
      <c r="J34" s="18">
        <v>76923</v>
      </c>
      <c r="K34" s="18">
        <f>0.1571</f>
        <v>0.15709999999999999</v>
      </c>
      <c r="O34" t="s">
        <v>46</v>
      </c>
      <c r="P34" s="7">
        <v>193461.05128205128</v>
      </c>
      <c r="Q34" s="5">
        <v>248589.40162966101</v>
      </c>
      <c r="R34" s="5">
        <v>314989.18799999997</v>
      </c>
      <c r="S34" s="5">
        <v>335945</v>
      </c>
      <c r="T34" s="5">
        <v>374989.18799999997</v>
      </c>
      <c r="U34" s="5">
        <v>381989.18799999997</v>
      </c>
    </row>
    <row r="35" spans="4:28" x14ac:dyDescent="0.35">
      <c r="D35" s="8" t="s">
        <v>65</v>
      </c>
      <c r="J35" s="18"/>
      <c r="K35" s="18">
        <f>J34*K34</f>
        <v>12084.603299999999</v>
      </c>
      <c r="Q35" s="7">
        <v>55128.350347609725</v>
      </c>
      <c r="R35" s="7">
        <v>66399.786370338959</v>
      </c>
      <c r="S35" s="7">
        <f>S34-R34</f>
        <v>20955.812000000034</v>
      </c>
    </row>
    <row r="37" spans="4:28" ht="15" thickBot="1" x14ac:dyDescent="0.4">
      <c r="D37" s="8" t="s">
        <v>66</v>
      </c>
      <c r="G37" s="17">
        <f>G26+G33-G35</f>
        <v>17000</v>
      </c>
      <c r="O37" t="s">
        <v>67</v>
      </c>
      <c r="Q37" s="26">
        <v>282432.88663898304</v>
      </c>
      <c r="R37" s="7">
        <v>33843.48500932203</v>
      </c>
      <c r="S37" s="7">
        <v>8687</v>
      </c>
      <c r="T37" s="7">
        <v>120736</v>
      </c>
      <c r="AA37" t="s">
        <v>68</v>
      </c>
      <c r="AB37">
        <v>1500</v>
      </c>
    </row>
    <row r="38" spans="4:28" ht="15" thickTop="1" x14ac:dyDescent="0.35">
      <c r="O38" t="s">
        <v>42</v>
      </c>
      <c r="Q38" s="26">
        <v>294892.69565217395</v>
      </c>
      <c r="R38" s="7">
        <v>12459.809013190912</v>
      </c>
      <c r="S38" s="7">
        <v>5697</v>
      </c>
      <c r="T38" s="7">
        <v>43735</v>
      </c>
    </row>
    <row r="39" spans="4:28" ht="15" thickBot="1" x14ac:dyDescent="0.4">
      <c r="D39" s="8" t="s">
        <v>69</v>
      </c>
      <c r="G39" s="17">
        <f>N27</f>
        <v>236817</v>
      </c>
      <c r="O39" t="s">
        <v>41</v>
      </c>
      <c r="Q39" s="26">
        <v>310690.6944444445</v>
      </c>
      <c r="R39" s="7">
        <v>15797.998792270548</v>
      </c>
      <c r="S39" s="7">
        <v>37050</v>
      </c>
      <c r="T39" s="7">
        <v>-7000</v>
      </c>
    </row>
    <row r="40" spans="4:28" ht="15" thickTop="1" x14ac:dyDescent="0.35">
      <c r="O40" t="s">
        <v>70</v>
      </c>
      <c r="Q40" s="27">
        <v>314989.18799999997</v>
      </c>
      <c r="R40" s="7">
        <v>4298.4935555554694</v>
      </c>
      <c r="S40" s="7">
        <v>-31361</v>
      </c>
      <c r="T40" s="7">
        <v>11634</v>
      </c>
    </row>
    <row r="41" spans="4:28" x14ac:dyDescent="0.35">
      <c r="D41" s="8" t="s">
        <v>37</v>
      </c>
      <c r="G41">
        <v>360000</v>
      </c>
      <c r="R41" s="7">
        <v>66399.786370338959</v>
      </c>
      <c r="S41" s="7">
        <f>SUM(S37:S40)</f>
        <v>20073</v>
      </c>
      <c r="T41" s="7">
        <f>SUM(T37:T40)</f>
        <v>169105</v>
      </c>
    </row>
    <row r="42" spans="4:28" ht="15" thickBot="1" x14ac:dyDescent="0.4">
      <c r="D42" s="8" t="s">
        <v>71</v>
      </c>
      <c r="G42" s="25">
        <f>G41</f>
        <v>360000</v>
      </c>
    </row>
    <row r="43" spans="4:28" ht="15" thickTop="1" x14ac:dyDescent="0.35">
      <c r="O43" s="8" t="s">
        <v>72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AA43" t="s">
        <v>73</v>
      </c>
    </row>
    <row r="44" spans="4:28" x14ac:dyDescent="0.35">
      <c r="D44" s="8" t="s">
        <v>74</v>
      </c>
      <c r="G44" s="7">
        <f>G42+G39+G37</f>
        <v>613817</v>
      </c>
      <c r="P44">
        <v>2015</v>
      </c>
      <c r="Q44">
        <v>2016</v>
      </c>
      <c r="R44">
        <v>2017</v>
      </c>
      <c r="S44">
        <v>2018</v>
      </c>
      <c r="T44">
        <v>2019</v>
      </c>
      <c r="U44">
        <v>2020</v>
      </c>
      <c r="AA44" t="s">
        <v>75</v>
      </c>
      <c r="AB44" t="s">
        <v>76</v>
      </c>
    </row>
    <row r="45" spans="4:28" x14ac:dyDescent="0.35">
      <c r="O45" t="s">
        <v>77</v>
      </c>
      <c r="P45" s="7">
        <v>105896.15384615386</v>
      </c>
      <c r="Q45" s="7">
        <v>163396.15384615387</v>
      </c>
      <c r="R45" s="7">
        <v>193396.15384615387</v>
      </c>
      <c r="S45" s="7">
        <v>223396.15384615387</v>
      </c>
      <c r="T45" s="7">
        <v>253396.15384615387</v>
      </c>
      <c r="U45" s="7">
        <v>283396.15384615387</v>
      </c>
    </row>
    <row r="46" spans="4:28" x14ac:dyDescent="0.35">
      <c r="O46" s="8" t="s">
        <v>78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</row>
    <row r="47" spans="4:28" x14ac:dyDescent="0.35">
      <c r="E47">
        <v>57150</v>
      </c>
      <c r="O47" t="s">
        <v>79</v>
      </c>
      <c r="P47" s="7">
        <v>27500.000000000004</v>
      </c>
      <c r="Q47" s="7"/>
      <c r="R47" s="7"/>
      <c r="S47" s="7"/>
      <c r="T47" s="7"/>
      <c r="U47" s="7"/>
    </row>
    <row r="48" spans="4:28" x14ac:dyDescent="0.35">
      <c r="E48">
        <f>100000-E47</f>
        <v>42850</v>
      </c>
      <c r="O48" t="s">
        <v>46</v>
      </c>
      <c r="P48" s="7">
        <v>163396.15384615387</v>
      </c>
      <c r="Q48" s="7">
        <v>193396.15384615387</v>
      </c>
      <c r="R48" s="7">
        <v>223396.15384615387</v>
      </c>
      <c r="S48" s="7">
        <v>253396.15384615387</v>
      </c>
      <c r="T48" s="7">
        <v>283396.15384615387</v>
      </c>
      <c r="U48" s="7">
        <v>313396.15384615387</v>
      </c>
    </row>
    <row r="49" spans="5:21" x14ac:dyDescent="0.35">
      <c r="U49" s="7">
        <f>U48-Q34</f>
        <v>64806.752216492867</v>
      </c>
    </row>
    <row r="50" spans="5:21" x14ac:dyDescent="0.35">
      <c r="E50">
        <v>50000</v>
      </c>
      <c r="H50">
        <v>171</v>
      </c>
    </row>
    <row r="51" spans="5:21" x14ac:dyDescent="0.35">
      <c r="E51">
        <v>16125</v>
      </c>
      <c r="H51">
        <v>29</v>
      </c>
      <c r="K51" s="36" t="s">
        <v>140</v>
      </c>
      <c r="L51" s="36" t="s">
        <v>139</v>
      </c>
      <c r="O51" t="s">
        <v>142</v>
      </c>
      <c r="P51" s="7">
        <v>1000</v>
      </c>
    </row>
    <row r="52" spans="5:21" x14ac:dyDescent="0.35">
      <c r="E52">
        <f>E50-E51</f>
        <v>33875</v>
      </c>
      <c r="H52">
        <v>70</v>
      </c>
      <c r="K52" t="s">
        <v>137</v>
      </c>
      <c r="L52">
        <f>900/100*25</f>
        <v>225</v>
      </c>
      <c r="O52" t="s">
        <v>146</v>
      </c>
      <c r="P52" s="7">
        <f>2000/1.3</f>
        <v>1538.4615384615383</v>
      </c>
    </row>
    <row r="53" spans="5:21" x14ac:dyDescent="0.35">
      <c r="H53">
        <f>SUM(H50:H52)</f>
        <v>270</v>
      </c>
      <c r="K53" t="s">
        <v>141</v>
      </c>
      <c r="L53">
        <v>30</v>
      </c>
      <c r="O53" s="24" t="s">
        <v>143</v>
      </c>
      <c r="P53" s="24">
        <v>1000</v>
      </c>
    </row>
    <row r="54" spans="5:21" x14ac:dyDescent="0.35">
      <c r="E54">
        <v>41555</v>
      </c>
      <c r="H54">
        <v>200</v>
      </c>
      <c r="K54" t="s">
        <v>138</v>
      </c>
      <c r="L54">
        <v>10</v>
      </c>
      <c r="O54" t="s">
        <v>144</v>
      </c>
      <c r="P54" s="24">
        <v>1036</v>
      </c>
    </row>
    <row r="55" spans="5:21" x14ac:dyDescent="0.35">
      <c r="E55">
        <f>E50-E54</f>
        <v>8445</v>
      </c>
      <c r="K55" t="s">
        <v>15</v>
      </c>
      <c r="L55">
        <f>22+15</f>
        <v>37</v>
      </c>
      <c r="O55" t="s">
        <v>145</v>
      </c>
      <c r="P55">
        <v>2000</v>
      </c>
    </row>
    <row r="56" spans="5:21" ht="15" thickBot="1" x14ac:dyDescent="0.4">
      <c r="K56" t="s">
        <v>46</v>
      </c>
      <c r="L56" s="47">
        <f>SUM(L52:L55)</f>
        <v>302</v>
      </c>
      <c r="P56" s="7">
        <f>SUM(P51:P55)</f>
        <v>6574.4615384615381</v>
      </c>
    </row>
    <row r="58" spans="5:21" x14ac:dyDescent="0.35">
      <c r="E58" t="s">
        <v>152</v>
      </c>
      <c r="F58" s="49">
        <v>159</v>
      </c>
      <c r="K58" t="s">
        <v>150</v>
      </c>
    </row>
    <row r="59" spans="5:21" x14ac:dyDescent="0.35">
      <c r="E59" t="s">
        <v>15</v>
      </c>
      <c r="F59" s="49">
        <v>38</v>
      </c>
      <c r="K59" t="s">
        <v>149</v>
      </c>
      <c r="L59">
        <v>33875</v>
      </c>
    </row>
    <row r="60" spans="5:21" x14ac:dyDescent="0.35">
      <c r="E60" t="s">
        <v>153</v>
      </c>
      <c r="F60">
        <v>40.200000000000003</v>
      </c>
      <c r="K60" t="s">
        <v>149</v>
      </c>
      <c r="L60">
        <v>8450</v>
      </c>
    </row>
    <row r="61" spans="5:21" x14ac:dyDescent="0.35">
      <c r="E61" t="s">
        <v>154</v>
      </c>
      <c r="F61" s="49">
        <v>16.100000000000001</v>
      </c>
    </row>
    <row r="62" spans="5:21" x14ac:dyDescent="0.35">
      <c r="F62">
        <f>SUM(F58:F61)</f>
        <v>253.29999999999998</v>
      </c>
    </row>
    <row r="63" spans="5:21" x14ac:dyDescent="0.35">
      <c r="K63" t="s">
        <v>151</v>
      </c>
      <c r="L63">
        <f>SUM(L59:L62)</f>
        <v>42325</v>
      </c>
    </row>
    <row r="65" spans="4:7" x14ac:dyDescent="0.35">
      <c r="E65" t="s">
        <v>155</v>
      </c>
      <c r="F65">
        <v>20</v>
      </c>
    </row>
    <row r="66" spans="4:7" x14ac:dyDescent="0.35">
      <c r="E66" t="s">
        <v>156</v>
      </c>
      <c r="F66">
        <v>20</v>
      </c>
    </row>
    <row r="67" spans="4:7" x14ac:dyDescent="0.35">
      <c r="E67" t="s">
        <v>157</v>
      </c>
      <c r="F67">
        <v>70</v>
      </c>
      <c r="G67" t="s">
        <v>24</v>
      </c>
    </row>
    <row r="68" spans="4:7" x14ac:dyDescent="0.35">
      <c r="D68" t="s">
        <v>160</v>
      </c>
      <c r="E68" t="s">
        <v>158</v>
      </c>
      <c r="F68">
        <v>70</v>
      </c>
    </row>
    <row r="69" spans="4:7" x14ac:dyDescent="0.35">
      <c r="D69" t="s">
        <v>160</v>
      </c>
      <c r="E69" t="s">
        <v>159</v>
      </c>
      <c r="F69">
        <v>40</v>
      </c>
    </row>
    <row r="70" spans="4:7" x14ac:dyDescent="0.35">
      <c r="D70" t="s">
        <v>160</v>
      </c>
      <c r="E70" t="s">
        <v>152</v>
      </c>
      <c r="F70">
        <v>33</v>
      </c>
    </row>
    <row r="72" spans="4:7" x14ac:dyDescent="0.35">
      <c r="E72" t="s">
        <v>46</v>
      </c>
      <c r="F72">
        <f>SUM(F65:F70)</f>
        <v>253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92A8-CB9F-4D7B-9F1C-60D09F71BBF8}">
  <dimension ref="B2:BW18"/>
  <sheetViews>
    <sheetView zoomScaleNormal="100" workbookViewId="0">
      <pane xSplit="1" topLeftCell="B1" activePane="topRight" state="frozen"/>
      <selection pane="topRight" activeCell="BH1" sqref="BH1:BI1048576"/>
    </sheetView>
  </sheetViews>
  <sheetFormatPr defaultRowHeight="14.5" x14ac:dyDescent="0.35"/>
  <cols>
    <col min="1" max="1" width="0.1796875" customWidth="1"/>
    <col min="2" max="2" width="15.90625" bestFit="1" customWidth="1"/>
    <col min="3" max="10" width="9.08984375" hidden="1" customWidth="1"/>
    <col min="11" max="11" width="9.26953125" hidden="1" customWidth="1"/>
    <col min="12" max="20" width="9.08984375" hidden="1" customWidth="1"/>
    <col min="21" max="22" width="9.26953125" hidden="1" customWidth="1"/>
    <col min="23" max="25" width="9.08984375" hidden="1" customWidth="1"/>
    <col min="26" max="26" width="9.26953125" hidden="1" customWidth="1"/>
    <col min="27" max="34" width="8.7265625" hidden="1" customWidth="1"/>
    <col min="35" max="35" width="9.26953125" hidden="1" customWidth="1"/>
    <col min="36" max="36" width="9.36328125" hidden="1" customWidth="1"/>
    <col min="37" max="41" width="8.7265625" hidden="1" customWidth="1"/>
    <col min="42" max="42" width="9.36328125" hidden="1" customWidth="1"/>
    <col min="43" max="43" width="8.7265625" hidden="1" customWidth="1"/>
    <col min="44" max="44" width="9.36328125" hidden="1" customWidth="1"/>
    <col min="45" max="47" width="8.7265625" hidden="1" customWidth="1"/>
    <col min="48" max="48" width="9.54296875" hidden="1" customWidth="1"/>
    <col min="49" max="49" width="8.7265625" hidden="1" customWidth="1"/>
    <col min="50" max="50" width="9.36328125" hidden="1" customWidth="1"/>
    <col min="51" max="57" width="0" hidden="1" customWidth="1"/>
    <col min="58" max="58" width="10" hidden="1" customWidth="1"/>
    <col min="59" max="59" width="9.36328125" hidden="1" customWidth="1"/>
    <col min="60" max="61" width="0" hidden="1" customWidth="1"/>
    <col min="68" max="68" width="8.7265625" bestFit="1" customWidth="1"/>
    <col min="70" max="70" width="10" bestFit="1" customWidth="1"/>
    <col min="72" max="72" width="9.54296875" bestFit="1" customWidth="1"/>
    <col min="73" max="73" width="9.81640625" bestFit="1" customWidth="1"/>
  </cols>
  <sheetData>
    <row r="2" spans="2:75" x14ac:dyDescent="0.35">
      <c r="C2" t="s">
        <v>97</v>
      </c>
      <c r="M2">
        <v>2020</v>
      </c>
      <c r="N2">
        <v>2021</v>
      </c>
      <c r="Z2">
        <v>2022</v>
      </c>
      <c r="AL2">
        <v>2023</v>
      </c>
      <c r="AX2">
        <v>2024</v>
      </c>
      <c r="BJ2" s="36">
        <v>2025</v>
      </c>
      <c r="BV2" s="36">
        <v>2026</v>
      </c>
    </row>
    <row r="3" spans="2:75" x14ac:dyDescent="0.35">
      <c r="C3" t="s">
        <v>84</v>
      </c>
      <c r="D3" t="s">
        <v>85</v>
      </c>
      <c r="E3" t="s">
        <v>86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100</v>
      </c>
      <c r="L3" t="s">
        <v>101</v>
      </c>
      <c r="M3" s="36" t="s">
        <v>103</v>
      </c>
      <c r="N3" s="36" t="s">
        <v>106</v>
      </c>
      <c r="O3" s="36" t="s">
        <v>109</v>
      </c>
      <c r="P3" s="36" t="s">
        <v>112</v>
      </c>
      <c r="Q3" s="36" t="s">
        <v>86</v>
      </c>
      <c r="R3" s="36" t="s">
        <v>88</v>
      </c>
      <c r="S3" s="36" t="s">
        <v>89</v>
      </c>
      <c r="T3" s="36" t="s">
        <v>90</v>
      </c>
      <c r="U3" s="36" t="s">
        <v>91</v>
      </c>
      <c r="V3" s="36" t="s">
        <v>92</v>
      </c>
      <c r="W3" s="36" t="s">
        <v>100</v>
      </c>
      <c r="X3" s="36" t="s">
        <v>101</v>
      </c>
      <c r="Y3" s="36" t="s">
        <v>103</v>
      </c>
      <c r="Z3" s="36" t="s">
        <v>106</v>
      </c>
      <c r="AA3" s="36" t="s">
        <v>109</v>
      </c>
      <c r="AB3" s="36" t="s">
        <v>112</v>
      </c>
      <c r="AC3" s="36" t="s">
        <v>86</v>
      </c>
      <c r="AD3" s="36" t="s">
        <v>88</v>
      </c>
      <c r="AE3" s="36" t="s">
        <v>89</v>
      </c>
      <c r="AF3" s="36" t="s">
        <v>90</v>
      </c>
      <c r="AG3" s="36" t="s">
        <v>91</v>
      </c>
      <c r="AH3" s="36" t="s">
        <v>92</v>
      </c>
      <c r="AI3" s="36" t="s">
        <v>100</v>
      </c>
      <c r="AJ3" s="36" t="s">
        <v>101</v>
      </c>
      <c r="AK3" s="36" t="s">
        <v>103</v>
      </c>
      <c r="AL3" s="36" t="s">
        <v>106</v>
      </c>
      <c r="AM3" s="36" t="s">
        <v>109</v>
      </c>
      <c r="AN3" s="36" t="s">
        <v>112</v>
      </c>
      <c r="AO3" s="36" t="s">
        <v>86</v>
      </c>
      <c r="AP3" s="36" t="s">
        <v>88</v>
      </c>
      <c r="AQ3" s="36" t="s">
        <v>89</v>
      </c>
      <c r="AR3" s="36" t="s">
        <v>90</v>
      </c>
      <c r="AS3" s="36" t="s">
        <v>91</v>
      </c>
      <c r="AT3" s="36" t="s">
        <v>92</v>
      </c>
      <c r="AU3" s="36" t="s">
        <v>100</v>
      </c>
      <c r="AV3" s="36" t="s">
        <v>101</v>
      </c>
      <c r="AW3" s="36" t="s">
        <v>103</v>
      </c>
      <c r="AX3" s="36" t="s">
        <v>126</v>
      </c>
      <c r="AY3" s="36" t="s">
        <v>127</v>
      </c>
      <c r="AZ3" s="36" t="s">
        <v>128</v>
      </c>
      <c r="BA3" s="36" t="s">
        <v>86</v>
      </c>
      <c r="BB3" s="36" t="s">
        <v>88</v>
      </c>
      <c r="BC3" s="36" t="s">
        <v>89</v>
      </c>
      <c r="BD3" s="36" t="s">
        <v>90</v>
      </c>
      <c r="BE3" s="36" t="s">
        <v>91</v>
      </c>
      <c r="BF3" s="36" t="s">
        <v>92</v>
      </c>
      <c r="BG3" s="36" t="s">
        <v>100</v>
      </c>
      <c r="BH3" s="36" t="s">
        <v>101</v>
      </c>
      <c r="BI3" s="36" t="s">
        <v>103</v>
      </c>
      <c r="BJ3" s="36" t="s">
        <v>126</v>
      </c>
      <c r="BK3" s="36" t="s">
        <v>127</v>
      </c>
      <c r="BL3" s="36" t="s">
        <v>128</v>
      </c>
      <c r="BM3" s="36" t="s">
        <v>86</v>
      </c>
      <c r="BN3" s="36" t="s">
        <v>88</v>
      </c>
      <c r="BO3" s="36" t="s">
        <v>89</v>
      </c>
      <c r="BP3" s="36" t="s">
        <v>90</v>
      </c>
      <c r="BQ3" s="36" t="s">
        <v>91</v>
      </c>
      <c r="BR3" s="36" t="s">
        <v>92</v>
      </c>
      <c r="BS3" s="36" t="s">
        <v>100</v>
      </c>
      <c r="BT3" s="36" t="s">
        <v>101</v>
      </c>
      <c r="BU3" s="36" t="s">
        <v>103</v>
      </c>
      <c r="BV3" s="36" t="s">
        <v>126</v>
      </c>
      <c r="BW3" s="36" t="s">
        <v>127</v>
      </c>
    </row>
    <row r="4" spans="2:75" x14ac:dyDescent="0.35">
      <c r="B4" t="s">
        <v>80</v>
      </c>
      <c r="D4" s="7">
        <v>743170</v>
      </c>
      <c r="E4" s="7">
        <v>775682</v>
      </c>
      <c r="F4" s="7">
        <v>792911</v>
      </c>
      <c r="G4" s="7">
        <v>806902</v>
      </c>
      <c r="H4" s="7">
        <v>819632</v>
      </c>
      <c r="I4" s="7">
        <v>823295</v>
      </c>
      <c r="J4" s="7">
        <v>823909</v>
      </c>
      <c r="K4" s="7">
        <v>824273</v>
      </c>
      <c r="L4" s="7">
        <v>850052</v>
      </c>
      <c r="M4" s="10">
        <f>'[1]2020'!$Q$7</f>
        <v>863512</v>
      </c>
      <c r="N4" s="7">
        <v>883836</v>
      </c>
      <c r="O4" s="7">
        <f>'[1]2021'!$I$7</f>
        <v>885963</v>
      </c>
      <c r="P4" s="7">
        <f>'[1]2021'!$J$7</f>
        <v>893254</v>
      </c>
      <c r="Q4" s="7">
        <f>'[1]2021'!$K$7</f>
        <v>906496</v>
      </c>
      <c r="R4" s="7">
        <f>'[1]2021'!$L$7</f>
        <v>909943</v>
      </c>
      <c r="S4" s="7">
        <f>'[1]2021'!$M$7</f>
        <v>923196</v>
      </c>
      <c r="T4" s="7">
        <f>'[1]2021'!$N$7</f>
        <v>933046</v>
      </c>
      <c r="U4" s="7">
        <f>'[1]2021'!$O$7</f>
        <v>945538</v>
      </c>
      <c r="V4" s="7">
        <f>'[1]2021'!$P$7</f>
        <v>934241</v>
      </c>
      <c r="W4" s="7">
        <f>'[1]2021'!$Q$7</f>
        <v>943795</v>
      </c>
      <c r="X4">
        <v>948677</v>
      </c>
      <c r="Y4">
        <v>959334</v>
      </c>
      <c r="Z4">
        <v>936099</v>
      </c>
      <c r="AA4" s="7">
        <f>'[1]2022'!$E$7</f>
        <v>929652</v>
      </c>
      <c r="AB4" s="7">
        <f>'[1]2022'!$F$7</f>
        <v>938686</v>
      </c>
      <c r="AC4" s="7">
        <f>'[1]2022'!$G$7</f>
        <v>926753</v>
      </c>
      <c r="AD4" s="7">
        <f>'[1]2022'!$H$7</f>
        <v>921005</v>
      </c>
      <c r="AE4" s="7">
        <f>'[1]2022'!$I$7</f>
        <v>902508</v>
      </c>
      <c r="AF4" s="7">
        <f>'[1]2022'!$J$7</f>
        <v>923824</v>
      </c>
      <c r="AG4" s="7">
        <v>921251</v>
      </c>
      <c r="AH4" s="7">
        <v>891009</v>
      </c>
      <c r="AI4" s="7">
        <f>'[1]2022'!$M$7</f>
        <v>895266</v>
      </c>
      <c r="AJ4" s="7">
        <f>'[1]2022'!$N$7</f>
        <v>917397</v>
      </c>
      <c r="AK4" s="7">
        <f>'[1]2022'!$O$7</f>
        <v>910124</v>
      </c>
      <c r="AL4" s="7">
        <v>935166</v>
      </c>
      <c r="AM4" s="7">
        <v>930578</v>
      </c>
      <c r="AN4" s="7">
        <v>934741</v>
      </c>
      <c r="AO4" s="7">
        <v>942114</v>
      </c>
      <c r="AP4" s="7">
        <v>942108</v>
      </c>
      <c r="AQ4" s="7">
        <v>950491</v>
      </c>
      <c r="AR4" s="7">
        <v>963496</v>
      </c>
      <c r="AS4" s="7">
        <f>'[1]2023'!$K$7</f>
        <v>962973</v>
      </c>
      <c r="AT4" s="7">
        <v>960495</v>
      </c>
      <c r="AU4" s="7">
        <v>954924</v>
      </c>
      <c r="AV4" s="7">
        <v>983340</v>
      </c>
      <c r="AW4" s="7">
        <v>1010477</v>
      </c>
      <c r="AX4" s="7">
        <f>'[1]2024'!$D$7</f>
        <v>1013736</v>
      </c>
      <c r="AY4">
        <v>1021287</v>
      </c>
      <c r="AZ4" s="7">
        <f>'[1]2024'!$F$7</f>
        <v>1080515</v>
      </c>
      <c r="BA4" s="7">
        <f>'[1]2024'!$G$7</f>
        <v>1076234</v>
      </c>
      <c r="BB4" s="7">
        <f>'[1]2024'!$H$7</f>
        <v>1085183</v>
      </c>
      <c r="BC4" s="7">
        <f>'[1]2024'!$I$7</f>
        <v>1099247</v>
      </c>
      <c r="BD4" s="7">
        <f>'[1]2024'!$J$7</f>
        <v>1104281</v>
      </c>
      <c r="BE4" s="7">
        <f>'[1]2024'!$K$7</f>
        <v>1126763</v>
      </c>
      <c r="BF4" s="7">
        <f>'[1]2024'!$L$7</f>
        <v>1144057</v>
      </c>
      <c r="BH4">
        <v>926211</v>
      </c>
      <c r="BI4" s="7">
        <f>'[1]2024'!$O$7</f>
        <v>923038</v>
      </c>
      <c r="BJ4" s="7">
        <f>'[1]2025'!$D$7</f>
        <v>946224</v>
      </c>
      <c r="BK4" s="7">
        <f>'[1]2025'!$E$7</f>
        <v>931672</v>
      </c>
      <c r="BL4" s="7">
        <f>'[1]2025'!$F$7</f>
        <v>908398</v>
      </c>
      <c r="BM4" s="7">
        <f>'[1]2025'!$G$7</f>
        <v>851387</v>
      </c>
      <c r="BN4" s="7">
        <f>'[1]2025'!$H$7</f>
        <v>877736</v>
      </c>
      <c r="BO4" s="7">
        <f>'[1]2025'!$I$7</f>
        <v>886798</v>
      </c>
      <c r="BP4" s="7">
        <f>'[1]2025'!$J$7</f>
        <v>923066</v>
      </c>
      <c r="BQ4" s="7">
        <f>'[1]2025'!$K$7</f>
        <v>924946</v>
      </c>
      <c r="BR4" s="7">
        <f>'[1]2025'!$L$7</f>
        <v>944106</v>
      </c>
      <c r="BS4" s="7">
        <f>'[1]2025'!$M$7</f>
        <v>978929</v>
      </c>
      <c r="BT4" s="7">
        <v>971916</v>
      </c>
      <c r="BU4" s="7">
        <f>'[1]2025'!$O$7</f>
        <v>971986</v>
      </c>
      <c r="BV4" s="7">
        <f>'[1]2026'!$D$6</f>
        <v>977345</v>
      </c>
      <c r="BW4" s="7">
        <f>'[1]2026'!$E$6</f>
        <v>1000208</v>
      </c>
    </row>
    <row r="5" spans="2:75" x14ac:dyDescent="0.35">
      <c r="B5" t="s">
        <v>81</v>
      </c>
      <c r="D5" s="7">
        <v>41222</v>
      </c>
      <c r="E5" s="7">
        <v>50879</v>
      </c>
      <c r="F5" s="7">
        <v>56235</v>
      </c>
      <c r="G5" s="7">
        <v>56573</v>
      </c>
      <c r="H5" s="7">
        <v>57995</v>
      </c>
      <c r="I5" s="7">
        <v>58352</v>
      </c>
      <c r="J5" s="7">
        <v>57893</v>
      </c>
      <c r="K5" s="7">
        <v>57349</v>
      </c>
      <c r="L5" s="7">
        <v>59765</v>
      </c>
      <c r="M5" s="7">
        <f>'[1]2020'!$Q$23</f>
        <v>60128</v>
      </c>
      <c r="N5" s="7">
        <v>56843</v>
      </c>
      <c r="O5" s="7">
        <f>'[1]2021'!$I$23</f>
        <v>63397</v>
      </c>
      <c r="P5" s="7">
        <f>'[1]2021'!$J$23</f>
        <v>61193</v>
      </c>
      <c r="Q5" s="7">
        <f>'[1]2021'!$K$23</f>
        <v>62679</v>
      </c>
      <c r="R5" s="7">
        <f>'[1]2021'!$L$23</f>
        <v>62942</v>
      </c>
      <c r="S5" s="7">
        <f>'[1]2021'!$M$23</f>
        <v>63348</v>
      </c>
      <c r="T5" s="7">
        <f>'[1]2021'!$N$23</f>
        <v>63448</v>
      </c>
      <c r="U5" s="7">
        <f>'[1]2021'!$O$23</f>
        <v>64244</v>
      </c>
      <c r="V5" s="7">
        <f>'[1]2021'!$P$23</f>
        <v>63388</v>
      </c>
      <c r="W5" s="7">
        <f>'[1]2021'!$Q$23</f>
        <v>63696</v>
      </c>
      <c r="X5">
        <v>63701</v>
      </c>
      <c r="Y5">
        <v>64497</v>
      </c>
      <c r="Z5" s="7">
        <v>65138</v>
      </c>
      <c r="AA5" s="7">
        <f>'[1]2022'!$E$18</f>
        <v>64604</v>
      </c>
      <c r="AB5" s="7">
        <f>'[1]2022'!$F$18</f>
        <v>65118</v>
      </c>
      <c r="AC5" s="7">
        <f>'[1]2022'!$G$18</f>
        <v>67005</v>
      </c>
      <c r="AD5" s="7">
        <f>'[1]2022'!$H$18</f>
        <v>67619</v>
      </c>
      <c r="AE5" s="7">
        <f>'[1]2022'!$I$18</f>
        <v>65842</v>
      </c>
      <c r="AF5" s="7">
        <f>'[1]2022'!$J$18</f>
        <v>66791</v>
      </c>
      <c r="AG5" s="7">
        <v>65743</v>
      </c>
      <c r="AH5" s="7">
        <v>62440</v>
      </c>
      <c r="AI5" s="7">
        <f>'[1]2022'!$M$18</f>
        <v>63471</v>
      </c>
      <c r="AJ5" s="7">
        <f>'[1]2022'!$N$18</f>
        <v>65414</v>
      </c>
      <c r="AK5" s="7">
        <f>'[1]2022'!$O$18</f>
        <v>64574</v>
      </c>
      <c r="AL5" s="7">
        <v>66862</v>
      </c>
      <c r="AM5" s="7">
        <v>66135</v>
      </c>
      <c r="AN5" s="7">
        <v>66660</v>
      </c>
      <c r="AO5" s="7">
        <v>68803</v>
      </c>
      <c r="AP5" s="7">
        <v>66939</v>
      </c>
      <c r="AQ5" s="7">
        <v>67309</v>
      </c>
      <c r="AR5" s="7">
        <v>68410</v>
      </c>
      <c r="AS5" s="7">
        <f>'[1]2023'!$K$14</f>
        <v>67525</v>
      </c>
      <c r="AT5" s="7">
        <v>66604</v>
      </c>
      <c r="AU5" s="7">
        <v>64932</v>
      </c>
      <c r="AV5" s="7">
        <v>67784</v>
      </c>
      <c r="AW5" s="7">
        <f>'[1]2023'!$O$14</f>
        <v>70331</v>
      </c>
      <c r="AX5" s="7">
        <f>'[1]2024'!$D$18</f>
        <v>70360</v>
      </c>
      <c r="AY5" s="7">
        <f>'[1]2024'!$E$18</f>
        <v>71304</v>
      </c>
      <c r="AZ5" s="7">
        <f>'[1]2024'!$F$14</f>
        <v>73073</v>
      </c>
      <c r="BA5" s="7">
        <f>'[1]2024'!$G$18</f>
        <v>72982</v>
      </c>
      <c r="BB5" s="7">
        <f>'[1]2024'!$H$14</f>
        <v>74336</v>
      </c>
      <c r="BC5" s="7">
        <f>'[1]2024'!$I$14</f>
        <v>75211</v>
      </c>
      <c r="BD5" s="7">
        <f>'[1]2024'!$J$18</f>
        <v>75357</v>
      </c>
      <c r="BE5" s="7">
        <f>'[1]2024'!$K$18</f>
        <v>76384</v>
      </c>
      <c r="BF5" s="7">
        <f>'[1]2024'!$L$18</f>
        <v>76994</v>
      </c>
      <c r="BH5">
        <v>78100</v>
      </c>
      <c r="BI5" s="7">
        <f>'[1]2024'!$O$14</f>
        <v>76863</v>
      </c>
      <c r="BJ5" s="7">
        <f>'[1]2025'!$D$18</f>
        <v>79240</v>
      </c>
      <c r="BK5" s="7">
        <f>'[1]2025'!$E$18</f>
        <v>78678</v>
      </c>
      <c r="BL5" s="7">
        <f>'[1]2025'!$F$18</f>
        <v>77073</v>
      </c>
      <c r="BM5" s="7">
        <f>'[1]2025'!$G$18</f>
        <v>78498</v>
      </c>
      <c r="BN5" s="7">
        <f>'[1]2025'!$H$18</f>
        <v>81311</v>
      </c>
      <c r="BO5" s="7">
        <f>'[1]2025'!$I$14</f>
        <v>85382</v>
      </c>
      <c r="BP5" s="7">
        <f>'[1]2025'!$J$18</f>
        <v>87378</v>
      </c>
      <c r="BQ5" s="7">
        <f>'[1]2025'!$K$18</f>
        <v>88841</v>
      </c>
      <c r="BR5" s="7">
        <f>'[1]2025'!$L$18</f>
        <v>90639</v>
      </c>
      <c r="BS5" s="7">
        <f>'[1]2025'!$M$14</f>
        <v>93054</v>
      </c>
      <c r="BT5" s="7">
        <v>92848</v>
      </c>
      <c r="BU5" s="7">
        <f>'[1]2025'!$O$18</f>
        <v>93472</v>
      </c>
      <c r="BV5" s="7">
        <f>'[1]2026'!$D$16</f>
        <v>95638</v>
      </c>
      <c r="BW5" s="7">
        <f>'[1]2026'!$E$16</f>
        <v>98202</v>
      </c>
    </row>
    <row r="6" spans="2:75" x14ac:dyDescent="0.35">
      <c r="B6" t="s">
        <v>82</v>
      </c>
      <c r="D6" s="7">
        <v>488723</v>
      </c>
      <c r="E6" s="7">
        <v>502641</v>
      </c>
      <c r="F6" s="7">
        <f>'29_05_20'!G24</f>
        <v>529548</v>
      </c>
      <c r="G6" s="7">
        <f>'30_06_20'!G24</f>
        <v>540663</v>
      </c>
      <c r="H6" s="7">
        <v>559428</v>
      </c>
      <c r="I6" s="7">
        <v>584474</v>
      </c>
      <c r="J6" s="7">
        <v>574859.99</v>
      </c>
      <c r="K6" s="7">
        <v>493726</v>
      </c>
      <c r="L6" s="7">
        <v>519120</v>
      </c>
      <c r="M6" s="7">
        <f>'31-12-20'!G24</f>
        <v>536746</v>
      </c>
      <c r="N6" s="7">
        <f>'31-01-21'!G25</f>
        <v>525559</v>
      </c>
      <c r="O6" s="7">
        <f>'28-02-21'!G25</f>
        <v>523713</v>
      </c>
      <c r="P6" s="7">
        <f>'31-03-21'!G25</f>
        <v>539869</v>
      </c>
      <c r="Q6" s="7">
        <f>'30-04-21'!H25</f>
        <v>561531</v>
      </c>
      <c r="R6" s="7">
        <f>'30-04-21'!G25</f>
        <v>555026</v>
      </c>
      <c r="S6" s="7">
        <f>'30-06-21'!G25</f>
        <v>567777</v>
      </c>
      <c r="T6" s="7">
        <f>'30-07-21'!G25</f>
        <v>585805.56521739135</v>
      </c>
      <c r="U6" s="7">
        <f>'31-08-21'!G25</f>
        <v>593895</v>
      </c>
      <c r="V6" s="7">
        <f>'30-09-21'!G25</f>
        <v>581045.41379310342</v>
      </c>
      <c r="W6" s="7">
        <f>'29-10-21'!G25</f>
        <v>605723.31034482759</v>
      </c>
      <c r="X6" s="7">
        <v>565063</v>
      </c>
      <c r="Y6">
        <v>584003</v>
      </c>
      <c r="Z6">
        <v>514245</v>
      </c>
      <c r="AA6" s="7">
        <f>'02-03022'!G25</f>
        <v>492863</v>
      </c>
      <c r="AB6" s="7">
        <f>'02-04-22'!G25</f>
        <v>503662</v>
      </c>
      <c r="AC6" s="7">
        <f>'30-04-22'!G25</f>
        <v>493325</v>
      </c>
      <c r="AD6" s="7">
        <f>'31-05-22'!G25</f>
        <v>466900</v>
      </c>
      <c r="AE6" s="7">
        <f>'30-06-22'!G25</f>
        <v>445738</v>
      </c>
      <c r="AF6" s="7">
        <f>'31-07-22'!G25</f>
        <v>451922</v>
      </c>
      <c r="AG6" s="7">
        <v>443489</v>
      </c>
      <c r="AH6" s="7">
        <v>429730</v>
      </c>
      <c r="AI6" s="7">
        <f>'31-10-22'!G25</f>
        <v>458143</v>
      </c>
      <c r="AJ6" s="7">
        <f>'30-11-22'!G25</f>
        <v>487891</v>
      </c>
      <c r="AK6" s="7">
        <f>'30-12-22'!G25</f>
        <v>460435</v>
      </c>
      <c r="AL6" s="7">
        <v>487971</v>
      </c>
      <c r="AM6" s="7">
        <v>490651</v>
      </c>
      <c r="AN6" s="7">
        <v>513309</v>
      </c>
      <c r="AO6" s="7">
        <v>538740</v>
      </c>
      <c r="AP6" s="7">
        <v>532872</v>
      </c>
      <c r="AQ6" s="7">
        <v>544653</v>
      </c>
      <c r="AR6" s="7">
        <f>'31-07-23'!G25</f>
        <v>543023</v>
      </c>
      <c r="AS6" s="7">
        <f>'31-08-23'!G25</f>
        <v>469864</v>
      </c>
      <c r="AT6" s="7">
        <f>'30-09-23'!G25</f>
        <v>448904</v>
      </c>
      <c r="AU6">
        <v>455748</v>
      </c>
      <c r="AV6">
        <v>497951</v>
      </c>
      <c r="AW6" s="7">
        <f>'29-12-23'!G25</f>
        <v>562446</v>
      </c>
      <c r="AX6" s="7">
        <f>'31-01-24'!G25</f>
        <v>578978</v>
      </c>
      <c r="AY6" s="7">
        <f>'29-02-24'!G25</f>
        <v>600347</v>
      </c>
      <c r="AZ6" s="7">
        <f>'28-03-24'!H25</f>
        <v>616042</v>
      </c>
      <c r="BA6" s="7">
        <f>'28-03-24'!G25</f>
        <v>589905</v>
      </c>
      <c r="BB6" s="7">
        <f>'31-05-24'!G25</f>
        <v>583499</v>
      </c>
      <c r="BC6" s="7">
        <f>'28-06'!G25</f>
        <v>628422.68999999994</v>
      </c>
      <c r="BD6" s="7">
        <f>'31-07-24'!G25</f>
        <v>630989.39</v>
      </c>
      <c r="BE6" s="7">
        <f>'31-08-24'!G25</f>
        <v>618135</v>
      </c>
      <c r="BF6" s="7">
        <f>'30-09-24'!G25</f>
        <v>678738.42</v>
      </c>
      <c r="BG6" s="7">
        <f>'31-10-24'!G25</f>
        <v>679138</v>
      </c>
      <c r="BH6" s="7">
        <f>'30-11-24'!G26</f>
        <v>958918</v>
      </c>
      <c r="BI6" s="7">
        <f>'31-12-24'!G26</f>
        <v>960578.60329999996</v>
      </c>
      <c r="BJ6" s="7">
        <f>'31-01-25'!G26</f>
        <v>997606</v>
      </c>
      <c r="BK6" s="7">
        <f>'28-02-2025'!G26</f>
        <v>964498</v>
      </c>
      <c r="BL6" s="7">
        <f>'31-03-2025'!H26</f>
        <v>964498</v>
      </c>
      <c r="BM6" s="7">
        <f>'30-04-2025'!G26</f>
        <v>957832</v>
      </c>
      <c r="BN6" s="7">
        <f>'31-05-2025'!G26</f>
        <v>971747</v>
      </c>
      <c r="BO6" s="7">
        <f>'30-06-2025'!G26</f>
        <v>1022368</v>
      </c>
      <c r="BP6" s="7">
        <f>'31-07-2025'!G26</f>
        <v>1012509</v>
      </c>
      <c r="BQ6" s="7">
        <f>'31-08-2025'!G26</f>
        <v>952243</v>
      </c>
      <c r="BR6" s="7">
        <f>'31-08-2025'!G26</f>
        <v>952243</v>
      </c>
      <c r="BS6" s="7">
        <f>'31-10-2025'!G26</f>
        <v>954337</v>
      </c>
      <c r="BT6" s="7">
        <f>'28-11-2025'!G26</f>
        <v>909580</v>
      </c>
      <c r="BU6" s="7">
        <f>'31-12-2025'!G26</f>
        <v>888840</v>
      </c>
      <c r="BV6" s="7">
        <f>'31-01-2026'!G26</f>
        <v>819027</v>
      </c>
      <c r="BW6" s="7">
        <f>'28-02-2026'!G24</f>
        <v>825802</v>
      </c>
    </row>
    <row r="7" spans="2:75" x14ac:dyDescent="0.35">
      <c r="B7" t="s">
        <v>83</v>
      </c>
      <c r="D7" s="7">
        <v>73707</v>
      </c>
      <c r="E7" s="7">
        <v>100500</v>
      </c>
      <c r="F7" s="7">
        <v>100500</v>
      </c>
      <c r="G7" s="7">
        <f>'30_06_20'!M24</f>
        <v>120500</v>
      </c>
      <c r="H7" s="7">
        <v>120500</v>
      </c>
      <c r="I7" s="7">
        <v>120500</v>
      </c>
      <c r="J7" s="7">
        <v>122500</v>
      </c>
      <c r="K7" s="7">
        <v>122500</v>
      </c>
      <c r="L7" s="7">
        <v>122500</v>
      </c>
      <c r="M7" s="7">
        <f>'31-12-20'!M24</f>
        <v>122500</v>
      </c>
      <c r="N7" s="7">
        <v>122500</v>
      </c>
      <c r="O7" s="7">
        <f>N7</f>
        <v>122500</v>
      </c>
      <c r="P7" s="7">
        <f>O7</f>
        <v>122500</v>
      </c>
      <c r="Q7" s="7">
        <f>'30-04-21'!M25-3000</f>
        <v>144500</v>
      </c>
      <c r="R7" s="7">
        <f>'30-04-21'!M25</f>
        <v>147500</v>
      </c>
      <c r="S7" s="7">
        <f>'30-06-21'!M25</f>
        <v>147500</v>
      </c>
      <c r="T7" s="7">
        <f t="shared" ref="T7:Z7" si="0">S7</f>
        <v>147500</v>
      </c>
      <c r="U7" s="7">
        <f t="shared" si="0"/>
        <v>147500</v>
      </c>
      <c r="V7" s="7">
        <f t="shared" si="0"/>
        <v>147500</v>
      </c>
      <c r="W7" s="7">
        <f t="shared" si="0"/>
        <v>147500</v>
      </c>
      <c r="X7" s="7">
        <f t="shared" si="0"/>
        <v>147500</v>
      </c>
      <c r="Y7" s="7">
        <f t="shared" si="0"/>
        <v>147500</v>
      </c>
      <c r="Z7" s="7">
        <f t="shared" si="0"/>
        <v>147500</v>
      </c>
      <c r="AA7" s="7">
        <f>'02-03022'!M25</f>
        <v>152500</v>
      </c>
      <c r="AB7">
        <v>152500</v>
      </c>
      <c r="AC7" s="7">
        <f>'30-04-22'!M25</f>
        <v>152500</v>
      </c>
      <c r="AD7" s="7">
        <v>152500</v>
      </c>
      <c r="AE7" s="7">
        <v>152500</v>
      </c>
      <c r="AF7" s="7">
        <f>'31-07-22'!M25</f>
        <v>157500</v>
      </c>
      <c r="AG7" s="7">
        <v>157500</v>
      </c>
      <c r="AH7" s="7">
        <v>157500</v>
      </c>
      <c r="AI7" s="7">
        <v>157500</v>
      </c>
      <c r="AJ7" s="7">
        <v>157500</v>
      </c>
      <c r="AK7" s="7">
        <v>157500</v>
      </c>
      <c r="AL7" s="7">
        <v>157500</v>
      </c>
      <c r="AM7" s="7">
        <v>157500</v>
      </c>
      <c r="AN7" s="7">
        <v>157500</v>
      </c>
      <c r="AO7" s="7">
        <v>157500</v>
      </c>
      <c r="AP7" s="7">
        <v>160817</v>
      </c>
      <c r="AQ7" s="7">
        <v>160817</v>
      </c>
      <c r="AR7" s="7">
        <v>160817</v>
      </c>
      <c r="AS7" s="7">
        <v>246137</v>
      </c>
      <c r="AT7" s="7">
        <v>246137</v>
      </c>
      <c r="AU7" s="7">
        <v>246137</v>
      </c>
      <c r="AV7" s="7">
        <v>246137</v>
      </c>
      <c r="AW7" s="7">
        <v>246137</v>
      </c>
      <c r="AX7" s="7">
        <v>246137</v>
      </c>
      <c r="AY7" s="7">
        <v>246137</v>
      </c>
      <c r="AZ7" s="7">
        <v>246137</v>
      </c>
      <c r="BA7" s="7">
        <f>'28-03-24'!M26</f>
        <v>250317</v>
      </c>
      <c r="BB7" s="7">
        <f>'31-05-24'!M26</f>
        <v>250317</v>
      </c>
      <c r="BC7" s="7">
        <f>'28-06'!N26</f>
        <v>250317</v>
      </c>
      <c r="BD7" s="7">
        <f>BC7</f>
        <v>250317</v>
      </c>
      <c r="BE7" s="7">
        <f>'31-08-24'!N26</f>
        <v>255317</v>
      </c>
      <c r="BF7" s="7">
        <f>'30-09-24'!N26</f>
        <v>265317</v>
      </c>
      <c r="BG7" s="7">
        <f>'31-10-24'!N26</f>
        <v>265317</v>
      </c>
      <c r="BH7" s="7">
        <f>'30-11-24'!N27</f>
        <v>228317</v>
      </c>
      <c r="BI7" s="7">
        <f>'31-12-24'!N27</f>
        <v>228317</v>
      </c>
      <c r="BJ7" s="7">
        <v>228317</v>
      </c>
      <c r="BK7" s="7">
        <v>228317</v>
      </c>
      <c r="BL7" s="7">
        <f>'31-03-2025'!N27</f>
        <v>233817</v>
      </c>
      <c r="BM7" s="7">
        <f>'30-04-2025'!N27</f>
        <v>233817</v>
      </c>
      <c r="BN7" s="7">
        <f>BM7</f>
        <v>233817</v>
      </c>
      <c r="BO7" s="7">
        <f>BN7</f>
        <v>233817</v>
      </c>
      <c r="BP7" s="7">
        <f>BO7</f>
        <v>233817</v>
      </c>
      <c r="BQ7" s="7">
        <f>'31-08-2025'!N27</f>
        <v>236817</v>
      </c>
      <c r="BR7" s="7">
        <f>'30-09-2025'!N27</f>
        <v>236817</v>
      </c>
      <c r="BS7" s="7">
        <v>236817</v>
      </c>
      <c r="BT7" s="7">
        <v>236817</v>
      </c>
      <c r="BU7" s="7">
        <f>'31-12-2025'!N27</f>
        <v>236817</v>
      </c>
      <c r="BV7" s="7">
        <f>'31-01-2026'!N27</f>
        <v>251817</v>
      </c>
      <c r="BW7" s="7">
        <f>'28-02-2026'!N27</f>
        <v>236817</v>
      </c>
    </row>
    <row r="8" spans="2:75" ht="15" thickBot="1" x14ac:dyDescent="0.4">
      <c r="B8" t="s">
        <v>46</v>
      </c>
      <c r="D8" s="17">
        <f t="shared" ref="D8:I8" si="1">SUM(D4:D7)</f>
        <v>1346822</v>
      </c>
      <c r="E8" s="17">
        <f t="shared" si="1"/>
        <v>1429702</v>
      </c>
      <c r="F8" s="17">
        <f t="shared" si="1"/>
        <v>1479194</v>
      </c>
      <c r="G8" s="17">
        <f t="shared" si="1"/>
        <v>1524638</v>
      </c>
      <c r="H8" s="17">
        <f t="shared" si="1"/>
        <v>1557555</v>
      </c>
      <c r="I8" s="17">
        <f t="shared" si="1"/>
        <v>1586621</v>
      </c>
      <c r="J8" s="17">
        <f t="shared" ref="J8:N8" si="2">SUM(J4:J7)</f>
        <v>1579161.99</v>
      </c>
      <c r="K8" s="17">
        <f t="shared" si="2"/>
        <v>1497848</v>
      </c>
      <c r="L8" s="17">
        <f t="shared" si="2"/>
        <v>1551437</v>
      </c>
      <c r="M8" s="17">
        <f t="shared" si="2"/>
        <v>1582886</v>
      </c>
      <c r="N8" s="17">
        <f t="shared" si="2"/>
        <v>1588738</v>
      </c>
      <c r="O8" s="17">
        <f t="shared" ref="O8:Q8" si="3">SUM(O4:O7)</f>
        <v>1595573</v>
      </c>
      <c r="P8" s="17">
        <f t="shared" si="3"/>
        <v>1616816</v>
      </c>
      <c r="Q8" s="17">
        <f t="shared" si="3"/>
        <v>1675206</v>
      </c>
      <c r="R8" s="17">
        <f t="shared" ref="R8:T8" si="4">SUM(R4:R7)</f>
        <v>1675411</v>
      </c>
      <c r="S8" s="17">
        <f t="shared" si="4"/>
        <v>1701821</v>
      </c>
      <c r="T8" s="17">
        <f t="shared" si="4"/>
        <v>1729799.5652173914</v>
      </c>
      <c r="U8" s="17">
        <f t="shared" ref="U8:AC8" si="5">SUM(U4:U7)</f>
        <v>1751177</v>
      </c>
      <c r="V8" s="17">
        <f t="shared" si="5"/>
        <v>1726174.4137931033</v>
      </c>
      <c r="W8" s="17">
        <f t="shared" si="5"/>
        <v>1760714.3103448276</v>
      </c>
      <c r="X8" s="17">
        <f t="shared" si="5"/>
        <v>1724941</v>
      </c>
      <c r="Y8" s="17">
        <f t="shared" si="5"/>
        <v>1755334</v>
      </c>
      <c r="Z8" s="17">
        <f t="shared" si="5"/>
        <v>1662982</v>
      </c>
      <c r="AA8" s="17">
        <f t="shared" si="5"/>
        <v>1639619</v>
      </c>
      <c r="AB8" s="17">
        <f t="shared" si="5"/>
        <v>1659966</v>
      </c>
      <c r="AC8" s="17">
        <f t="shared" si="5"/>
        <v>1639583</v>
      </c>
      <c r="AD8" s="17">
        <f t="shared" ref="AD8:AG8" si="6">SUM(AD4:AD7)</f>
        <v>1608024</v>
      </c>
      <c r="AE8" s="17">
        <f t="shared" si="6"/>
        <v>1566588</v>
      </c>
      <c r="AF8" s="17">
        <f t="shared" si="6"/>
        <v>1600037</v>
      </c>
      <c r="AG8" s="17">
        <f t="shared" si="6"/>
        <v>1587983</v>
      </c>
      <c r="AH8" s="17">
        <f t="shared" ref="AH8:AJ8" si="7">SUM(AH4:AH7)</f>
        <v>1540679</v>
      </c>
      <c r="AI8" s="17">
        <f t="shared" si="7"/>
        <v>1574380</v>
      </c>
      <c r="AJ8" s="17">
        <f t="shared" si="7"/>
        <v>1628202</v>
      </c>
      <c r="AK8" s="17">
        <f t="shared" ref="AK8:AL8" si="8">SUM(AK4:AK7)</f>
        <v>1592633</v>
      </c>
      <c r="AL8" s="17">
        <f t="shared" si="8"/>
        <v>1647499</v>
      </c>
      <c r="AM8" s="17">
        <f t="shared" ref="AM8:AQ8" si="9">SUM(AM4:AM7)</f>
        <v>1644864</v>
      </c>
      <c r="AN8" s="17">
        <f t="shared" si="9"/>
        <v>1672210</v>
      </c>
      <c r="AO8" s="17">
        <f t="shared" si="9"/>
        <v>1707157</v>
      </c>
      <c r="AP8" s="17">
        <f t="shared" si="9"/>
        <v>1702736</v>
      </c>
      <c r="AQ8" s="17">
        <f t="shared" si="9"/>
        <v>1723270</v>
      </c>
      <c r="AR8" s="17">
        <f t="shared" ref="AR8:AT8" si="10">SUM(AR4:AR7)</f>
        <v>1735746</v>
      </c>
      <c r="AS8" s="17">
        <f t="shared" si="10"/>
        <v>1746499</v>
      </c>
      <c r="AT8" s="17">
        <f t="shared" si="10"/>
        <v>1722140</v>
      </c>
      <c r="AU8" s="17">
        <f t="shared" ref="AU8:BD8" si="11">SUM(AU4:AU7)</f>
        <v>1721741</v>
      </c>
      <c r="AV8" s="17">
        <f t="shared" si="11"/>
        <v>1795212</v>
      </c>
      <c r="AW8" s="17">
        <f t="shared" si="11"/>
        <v>1889391</v>
      </c>
      <c r="AX8" s="17">
        <f t="shared" si="11"/>
        <v>1909211</v>
      </c>
      <c r="AY8" s="17">
        <f t="shared" si="11"/>
        <v>1939075</v>
      </c>
      <c r="AZ8" s="17">
        <f t="shared" si="11"/>
        <v>2015767</v>
      </c>
      <c r="BA8" s="17">
        <f t="shared" si="11"/>
        <v>1989438</v>
      </c>
      <c r="BB8" s="17">
        <f t="shared" si="11"/>
        <v>1993335</v>
      </c>
      <c r="BC8" s="17">
        <f t="shared" si="11"/>
        <v>2053197.69</v>
      </c>
      <c r="BD8" s="17">
        <f t="shared" si="11"/>
        <v>2060944.3900000001</v>
      </c>
      <c r="BE8" s="17">
        <f t="shared" ref="BE8:BL8" si="12">SUM(BE4:BE7)</f>
        <v>2076599</v>
      </c>
      <c r="BF8" s="17">
        <f t="shared" si="12"/>
        <v>2165106.42</v>
      </c>
      <c r="BG8" s="17">
        <f t="shared" si="12"/>
        <v>944455</v>
      </c>
      <c r="BH8" s="17">
        <f t="shared" si="12"/>
        <v>2191546</v>
      </c>
      <c r="BI8" s="17">
        <f t="shared" si="12"/>
        <v>2188796.6033000001</v>
      </c>
      <c r="BJ8" s="17">
        <f t="shared" si="12"/>
        <v>2251387</v>
      </c>
      <c r="BK8" s="17">
        <f t="shared" si="12"/>
        <v>2203165</v>
      </c>
      <c r="BL8" s="17">
        <f t="shared" si="12"/>
        <v>2183786</v>
      </c>
      <c r="BM8" s="17">
        <f t="shared" ref="BM8:BQ8" si="13">SUM(BM4:BM7)</f>
        <v>2121534</v>
      </c>
      <c r="BN8" s="17">
        <f t="shared" si="13"/>
        <v>2164611</v>
      </c>
      <c r="BO8" s="17">
        <f t="shared" si="13"/>
        <v>2228365</v>
      </c>
      <c r="BP8" s="17">
        <f t="shared" si="13"/>
        <v>2256770</v>
      </c>
      <c r="BQ8" s="17">
        <f t="shared" si="13"/>
        <v>2202847</v>
      </c>
      <c r="BR8" s="17">
        <f t="shared" ref="BR8:BW8" si="14">SUM(BR4:BR7)</f>
        <v>2223805</v>
      </c>
      <c r="BS8" s="17">
        <f t="shared" si="14"/>
        <v>2263137</v>
      </c>
      <c r="BT8" s="17">
        <f t="shared" si="14"/>
        <v>2211161</v>
      </c>
      <c r="BU8" s="17">
        <f t="shared" si="14"/>
        <v>2191115</v>
      </c>
      <c r="BV8" s="17">
        <f t="shared" si="14"/>
        <v>2143827</v>
      </c>
      <c r="BW8" s="17">
        <f t="shared" si="14"/>
        <v>2161029</v>
      </c>
    </row>
    <row r="9" spans="2:75" ht="15" thickTop="1" x14ac:dyDescent="0.35">
      <c r="E9" s="7">
        <f t="shared" ref="E9:J9" si="15">E8-D8</f>
        <v>82880</v>
      </c>
      <c r="F9" s="7">
        <f t="shared" si="15"/>
        <v>49492</v>
      </c>
      <c r="G9" s="7">
        <f t="shared" si="15"/>
        <v>45444</v>
      </c>
      <c r="H9" s="7">
        <f t="shared" si="15"/>
        <v>32917</v>
      </c>
      <c r="I9" s="7">
        <f t="shared" si="15"/>
        <v>29066</v>
      </c>
      <c r="J9" s="7">
        <f t="shared" si="15"/>
        <v>-7459.0100000000093</v>
      </c>
      <c r="K9" s="7">
        <f t="shared" ref="K9" si="16">K8-J8</f>
        <v>-81313.989999999991</v>
      </c>
      <c r="L9" s="7">
        <f t="shared" ref="L9:BG9" si="17">L8-K8</f>
        <v>53589</v>
      </c>
      <c r="M9" s="7">
        <f t="shared" si="17"/>
        <v>31449</v>
      </c>
      <c r="N9" s="7">
        <f t="shared" si="17"/>
        <v>5852</v>
      </c>
      <c r="O9" s="7">
        <f t="shared" si="17"/>
        <v>6835</v>
      </c>
      <c r="P9" s="7">
        <f t="shared" si="17"/>
        <v>21243</v>
      </c>
      <c r="Q9" s="7">
        <f t="shared" si="17"/>
        <v>58390</v>
      </c>
      <c r="R9" s="7">
        <f t="shared" si="17"/>
        <v>205</v>
      </c>
      <c r="S9" s="7">
        <f t="shared" si="17"/>
        <v>26410</v>
      </c>
      <c r="T9" s="7">
        <f t="shared" si="17"/>
        <v>27978.565217391355</v>
      </c>
      <c r="U9" s="7">
        <f t="shared" si="17"/>
        <v>21377.434782608645</v>
      </c>
      <c r="V9" s="7">
        <f t="shared" si="17"/>
        <v>-25002.586206896696</v>
      </c>
      <c r="W9" s="7">
        <f t="shared" si="17"/>
        <v>34539.89655172429</v>
      </c>
      <c r="X9" s="7">
        <f t="shared" si="17"/>
        <v>-35773.310344827594</v>
      </c>
      <c r="Y9" s="7">
        <f t="shared" si="17"/>
        <v>30393</v>
      </c>
      <c r="Z9" s="7">
        <f t="shared" si="17"/>
        <v>-92352</v>
      </c>
      <c r="AA9" s="7">
        <f t="shared" si="17"/>
        <v>-23363</v>
      </c>
      <c r="AB9" s="7">
        <f t="shared" si="17"/>
        <v>20347</v>
      </c>
      <c r="AC9" s="7">
        <f t="shared" si="17"/>
        <v>-20383</v>
      </c>
      <c r="AD9" s="7">
        <f t="shared" si="17"/>
        <v>-31559</v>
      </c>
      <c r="AE9" s="7">
        <f t="shared" si="17"/>
        <v>-41436</v>
      </c>
      <c r="AF9" s="7">
        <f t="shared" si="17"/>
        <v>33449</v>
      </c>
      <c r="AG9" s="7">
        <f t="shared" si="17"/>
        <v>-12054</v>
      </c>
      <c r="AH9" s="7">
        <f t="shared" si="17"/>
        <v>-47304</v>
      </c>
      <c r="AI9" s="7">
        <f t="shared" si="17"/>
        <v>33701</v>
      </c>
      <c r="AJ9" s="7">
        <f t="shared" si="17"/>
        <v>53822</v>
      </c>
      <c r="AK9" s="7">
        <f t="shared" si="17"/>
        <v>-35569</v>
      </c>
      <c r="AL9" s="7">
        <f t="shared" si="17"/>
        <v>54866</v>
      </c>
      <c r="AM9" s="7">
        <f t="shared" si="17"/>
        <v>-2635</v>
      </c>
      <c r="AN9" s="7">
        <f t="shared" si="17"/>
        <v>27346</v>
      </c>
      <c r="AO9" s="7">
        <f t="shared" si="17"/>
        <v>34947</v>
      </c>
      <c r="AP9" s="7">
        <f t="shared" si="17"/>
        <v>-4421</v>
      </c>
      <c r="AQ9" s="7">
        <f t="shared" si="17"/>
        <v>20534</v>
      </c>
      <c r="AR9" s="7">
        <f t="shared" si="17"/>
        <v>12476</v>
      </c>
      <c r="AS9" s="7">
        <f t="shared" si="17"/>
        <v>10753</v>
      </c>
      <c r="AT9" s="7">
        <f t="shared" si="17"/>
        <v>-24359</v>
      </c>
      <c r="AU9" s="7">
        <f t="shared" si="17"/>
        <v>-399</v>
      </c>
      <c r="AV9" s="7">
        <f t="shared" si="17"/>
        <v>73471</v>
      </c>
      <c r="AW9" s="7">
        <f t="shared" si="17"/>
        <v>94179</v>
      </c>
      <c r="AX9" s="7">
        <f t="shared" si="17"/>
        <v>19820</v>
      </c>
      <c r="AY9" s="7">
        <f t="shared" si="17"/>
        <v>29864</v>
      </c>
      <c r="AZ9" s="7">
        <f t="shared" si="17"/>
        <v>76692</v>
      </c>
      <c r="BA9" s="7">
        <f t="shared" si="17"/>
        <v>-26329</v>
      </c>
      <c r="BB9" s="7">
        <f t="shared" si="17"/>
        <v>3897</v>
      </c>
      <c r="BC9" s="7">
        <f t="shared" si="17"/>
        <v>59862.689999999944</v>
      </c>
      <c r="BD9" s="7">
        <f t="shared" si="17"/>
        <v>7746.7000000001863</v>
      </c>
      <c r="BE9" s="7">
        <f t="shared" si="17"/>
        <v>15654.60999999987</v>
      </c>
      <c r="BF9" s="7">
        <f t="shared" si="17"/>
        <v>88507.419999999925</v>
      </c>
      <c r="BG9" s="7">
        <f t="shared" si="17"/>
        <v>-1220651.42</v>
      </c>
      <c r="BH9" s="7">
        <f>BH8-BF8</f>
        <v>26439.580000000075</v>
      </c>
      <c r="BI9" s="7">
        <f t="shared" ref="BI9:BW9" si="18">BI8-BH8</f>
        <v>-2749.3966999999247</v>
      </c>
      <c r="BJ9" s="7">
        <f t="shared" si="18"/>
        <v>62590.396699999925</v>
      </c>
      <c r="BK9" s="7">
        <f t="shared" si="18"/>
        <v>-48222</v>
      </c>
      <c r="BL9" s="7">
        <f t="shared" si="18"/>
        <v>-19379</v>
      </c>
      <c r="BM9" s="7">
        <f t="shared" si="18"/>
        <v>-62252</v>
      </c>
      <c r="BN9" s="7">
        <f t="shared" si="18"/>
        <v>43077</v>
      </c>
      <c r="BO9" s="7">
        <f t="shared" si="18"/>
        <v>63754</v>
      </c>
      <c r="BP9" s="7">
        <f t="shared" si="18"/>
        <v>28405</v>
      </c>
      <c r="BQ9" s="7">
        <f t="shared" si="18"/>
        <v>-53923</v>
      </c>
      <c r="BR9" s="7">
        <f t="shared" si="18"/>
        <v>20958</v>
      </c>
      <c r="BS9" s="7">
        <f t="shared" si="18"/>
        <v>39332</v>
      </c>
      <c r="BT9" s="7">
        <f t="shared" si="18"/>
        <v>-51976</v>
      </c>
      <c r="BU9" s="7">
        <f t="shared" si="18"/>
        <v>-20046</v>
      </c>
      <c r="BV9" s="7">
        <f t="shared" si="18"/>
        <v>-47288</v>
      </c>
      <c r="BW9" s="7">
        <f t="shared" si="18"/>
        <v>17202</v>
      </c>
    </row>
    <row r="10" spans="2:75" x14ac:dyDescent="0.35">
      <c r="B10" t="s">
        <v>87</v>
      </c>
      <c r="E10" s="7">
        <v>236000</v>
      </c>
      <c r="F10" s="7">
        <v>199000</v>
      </c>
      <c r="G10" s="7">
        <v>199900</v>
      </c>
      <c r="H10" s="7">
        <v>199901</v>
      </c>
      <c r="I10" s="7">
        <v>192000</v>
      </c>
      <c r="J10" s="7">
        <v>192001</v>
      </c>
      <c r="K10" s="7">
        <v>192001</v>
      </c>
      <c r="L10" s="7">
        <v>185000</v>
      </c>
      <c r="M10" s="7">
        <v>183000</v>
      </c>
      <c r="N10" s="7">
        <v>158000</v>
      </c>
      <c r="O10" s="7">
        <v>156780</v>
      </c>
      <c r="P10" s="7">
        <v>171300</v>
      </c>
      <c r="Q10" s="7">
        <v>159000</v>
      </c>
      <c r="R10" s="7">
        <v>159001</v>
      </c>
      <c r="S10" s="7">
        <v>156000</v>
      </c>
      <c r="T10" s="7">
        <v>159000</v>
      </c>
      <c r="U10" s="7">
        <v>157300</v>
      </c>
      <c r="V10" s="7">
        <v>159300</v>
      </c>
      <c r="W10" s="7">
        <v>162000</v>
      </c>
      <c r="X10" s="7">
        <v>154000</v>
      </c>
      <c r="Y10" s="7">
        <v>155500</v>
      </c>
      <c r="Z10" s="7">
        <v>155500</v>
      </c>
      <c r="AA10" s="7">
        <v>155500</v>
      </c>
      <c r="AB10" s="7">
        <v>171700</v>
      </c>
      <c r="AC10" s="7">
        <v>171700</v>
      </c>
      <c r="AD10" s="7">
        <v>171701</v>
      </c>
      <c r="AE10" s="7">
        <v>168000</v>
      </c>
      <c r="AF10" s="7">
        <v>163000</v>
      </c>
      <c r="AG10" s="7">
        <v>160700</v>
      </c>
      <c r="AH10" s="7">
        <v>160700</v>
      </c>
      <c r="AI10" s="7">
        <v>160701</v>
      </c>
      <c r="AJ10" s="7">
        <v>157000</v>
      </c>
      <c r="AK10" s="7">
        <v>157000</v>
      </c>
      <c r="AL10" s="7">
        <v>157000</v>
      </c>
      <c r="AM10" s="7">
        <v>157001</v>
      </c>
      <c r="AN10" s="7">
        <v>157001</v>
      </c>
      <c r="AO10" s="7">
        <v>157001</v>
      </c>
      <c r="AP10" s="7">
        <v>157002</v>
      </c>
      <c r="AQ10" s="7">
        <v>157000</v>
      </c>
      <c r="AR10" s="7">
        <v>157001</v>
      </c>
      <c r="AS10" s="7">
        <v>76000</v>
      </c>
      <c r="AT10" s="7">
        <v>76000</v>
      </c>
      <c r="AU10" s="7">
        <v>66625</v>
      </c>
      <c r="AV10" s="7">
        <v>66625</v>
      </c>
      <c r="AW10" s="7">
        <v>68425</v>
      </c>
      <c r="AX10" s="7">
        <v>66625</v>
      </c>
      <c r="AY10" s="7">
        <v>87000</v>
      </c>
      <c r="AZ10" s="7">
        <v>85175</v>
      </c>
      <c r="BA10" s="7">
        <v>78000</v>
      </c>
      <c r="BB10" s="7">
        <v>0</v>
      </c>
      <c r="BJ10">
        <v>308000</v>
      </c>
      <c r="BU10">
        <f>(BT8-BU8)/BT8*100</f>
        <v>0.90658256002163573</v>
      </c>
      <c r="BV10">
        <f>(BU8-BV8)/BU8*100</f>
        <v>2.1581706117661557</v>
      </c>
      <c r="BW10">
        <f>(BV8-BW8)/BV8*100</f>
        <v>-0.80239683519239202</v>
      </c>
    </row>
    <row r="11" spans="2:75" x14ac:dyDescent="0.35">
      <c r="Z11">
        <f>Y8/Z8</f>
        <v>1.0555339745108485</v>
      </c>
      <c r="BP11" s="52" t="s">
        <v>183</v>
      </c>
      <c r="BQ11" s="36" t="s">
        <v>179</v>
      </c>
      <c r="BV11" s="52" t="s">
        <v>183</v>
      </c>
      <c r="BW11" s="36" t="s">
        <v>179</v>
      </c>
    </row>
    <row r="12" spans="2:75" x14ac:dyDescent="0.35">
      <c r="BN12" t="s">
        <v>174</v>
      </c>
      <c r="BO12" s="7">
        <f>SUM('30-06-2025'!G15:G19)</f>
        <v>212501</v>
      </c>
      <c r="BP12" s="51">
        <f>BO12/BO18%</f>
        <v>20.785177157344517</v>
      </c>
      <c r="BQ12" t="s">
        <v>181</v>
      </c>
      <c r="BT12" t="s">
        <v>174</v>
      </c>
      <c r="BU12" s="7">
        <f>'28-02-2026'!G18+'28-02-2026'!G19+'28-02-2026'!G20+'28-02-2026'!G10+'28-02-2026'!G12+'28-02-2026'!G14+'28-02-2026'!G16</f>
        <v>334454</v>
      </c>
      <c r="BV12" s="51">
        <f>BU12/BU18%</f>
        <v>40.500507385547621</v>
      </c>
      <c r="BW12" t="s">
        <v>181</v>
      </c>
    </row>
    <row r="13" spans="2:75" x14ac:dyDescent="0.35">
      <c r="BM13" t="s">
        <v>9</v>
      </c>
      <c r="BN13" t="s">
        <v>185</v>
      </c>
      <c r="BO13" s="7">
        <f>SUM('30-06-2025'!G4:G5)</f>
        <v>136883</v>
      </c>
      <c r="BP13" s="51">
        <f>BO13/BO18%</f>
        <v>13.388818898870074</v>
      </c>
      <c r="BQ13" t="s">
        <v>180</v>
      </c>
      <c r="BS13" t="s">
        <v>9</v>
      </c>
      <c r="BT13" t="s">
        <v>185</v>
      </c>
      <c r="BU13" s="7">
        <f>'28-02-2026'!G4+'28-02-2026'!G5</f>
        <v>155002</v>
      </c>
      <c r="BV13" s="51">
        <f>BU13/BU18%</f>
        <v>18.769874618855365</v>
      </c>
      <c r="BW13" t="s">
        <v>180</v>
      </c>
    </row>
    <row r="14" spans="2:75" x14ac:dyDescent="0.35">
      <c r="BN14" t="s">
        <v>175</v>
      </c>
      <c r="BO14" s="7">
        <f>'30-06-2025'!G20</f>
        <v>384624</v>
      </c>
      <c r="BP14" s="51">
        <f>BO14/BO18%</f>
        <v>37.620895802685531</v>
      </c>
      <c r="BQ14" t="s">
        <v>182</v>
      </c>
      <c r="BT14" t="s">
        <v>175</v>
      </c>
      <c r="BU14" s="7">
        <f>'28-02-2026'!G21</f>
        <v>129401</v>
      </c>
      <c r="BV14" s="51">
        <f>BU14/BU18%</f>
        <v>15.669736813425009</v>
      </c>
      <c r="BW14" t="s">
        <v>182</v>
      </c>
    </row>
    <row r="15" spans="2:75" x14ac:dyDescent="0.35">
      <c r="BN15" t="s">
        <v>176</v>
      </c>
      <c r="BO15" s="7">
        <f>SUM('30-06-2025'!G9:G12)</f>
        <v>220056</v>
      </c>
      <c r="BP15" s="51">
        <f>BO15/BO18%</f>
        <v>21.524147860652914</v>
      </c>
      <c r="BQ15" t="s">
        <v>26</v>
      </c>
      <c r="BT15" t="s">
        <v>176</v>
      </c>
      <c r="BU15" s="7">
        <f>'28-02-2026'!G9+'28-02-2026'!G11+'28-02-2026'!G13+'28-02-2026'!G15</f>
        <v>105478</v>
      </c>
      <c r="BV15" s="51">
        <f>BU15/BU18%</f>
        <v>12.772795415850288</v>
      </c>
      <c r="BW15" t="s">
        <v>26</v>
      </c>
    </row>
    <row r="16" spans="2:75" x14ac:dyDescent="0.35">
      <c r="BM16" t="s">
        <v>9</v>
      </c>
      <c r="BN16" t="s">
        <v>184</v>
      </c>
      <c r="BO16" s="7">
        <f>SUM('30-06-2025'!G6:G8)</f>
        <v>28304</v>
      </c>
      <c r="BP16" s="51">
        <f>BO16/BO18%</f>
        <v>2.7684747566434003</v>
      </c>
      <c r="BQ16" t="s">
        <v>182</v>
      </c>
      <c r="BS16" t="s">
        <v>9</v>
      </c>
      <c r="BT16" t="s">
        <v>184</v>
      </c>
      <c r="BU16" s="7">
        <f>'28-02-2026'!G7+'28-02-2026'!G8+'28-02-2026'!G6</f>
        <v>61467</v>
      </c>
      <c r="BV16" s="51">
        <f>BU16/BU18%</f>
        <v>7.4433096553411104</v>
      </c>
      <c r="BW16" t="s">
        <v>182</v>
      </c>
    </row>
    <row r="17" spans="59:75" x14ac:dyDescent="0.35">
      <c r="BG17">
        <f>3164*12</f>
        <v>37968</v>
      </c>
      <c r="BM17" t="s">
        <v>178</v>
      </c>
      <c r="BN17" t="s">
        <v>177</v>
      </c>
      <c r="BO17" s="7">
        <f>'30-06-2025'!G14</f>
        <v>40000</v>
      </c>
      <c r="BP17" s="51">
        <f>BO17/BO18%</f>
        <v>3.9124855238035616</v>
      </c>
      <c r="BQ17" t="s">
        <v>182</v>
      </c>
      <c r="BS17" t="s">
        <v>178</v>
      </c>
      <c r="BT17" t="s">
        <v>177</v>
      </c>
      <c r="BU17" s="7">
        <f>'28-02-2026'!G17</f>
        <v>40000</v>
      </c>
      <c r="BV17" s="51">
        <f>BU17/BU18%</f>
        <v>4.8437761109805981</v>
      </c>
      <c r="BW17" t="s">
        <v>182</v>
      </c>
    </row>
    <row r="18" spans="59:75" x14ac:dyDescent="0.35">
      <c r="BO18" s="7">
        <f>SUM(BO12:BO17)</f>
        <v>1022368</v>
      </c>
      <c r="BU18" s="7">
        <f>SUM(BU12:BU17)</f>
        <v>825802</v>
      </c>
    </row>
  </sheetData>
  <phoneticPr fontId="7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2FD6F1506F564BB79A97F9C245AD34" ma:contentTypeVersion="2" ma:contentTypeDescription="Create a new document." ma:contentTypeScope="" ma:versionID="a450325ed702cdb07bea727de6afe1b7">
  <xsd:schema xmlns:xsd="http://www.w3.org/2001/XMLSchema" xmlns:xs="http://www.w3.org/2001/XMLSchema" xmlns:p="http://schemas.microsoft.com/office/2006/metadata/properties" xmlns:ns3="386f4720-9db4-4950-8ffd-cd1ef4b846d5" targetNamespace="http://schemas.microsoft.com/office/2006/metadata/properties" ma:root="true" ma:fieldsID="e5dbbb330a929fc1a3e4aaa3383c6b7b" ns3:_="">
    <xsd:import namespace="386f4720-9db4-4950-8ffd-cd1ef4b846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f4720-9db4-4950-8ffd-cd1ef4b846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9E83E9-4215-415A-BE5A-C23FCCCAD17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86f4720-9db4-4950-8ffd-cd1ef4b846d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EC0F4EB-DF74-4FF1-ACF8-5CB150164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f4720-9db4-4950-8ffd-cd1ef4b84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A5FAB4-E705-4C24-B054-7F37B357C1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30_04_20</vt:lpstr>
      <vt:lpstr>29_05_20</vt:lpstr>
      <vt:lpstr>30_06_20</vt:lpstr>
      <vt:lpstr>31_07_20</vt:lpstr>
      <vt:lpstr>31_08_20</vt:lpstr>
      <vt:lpstr>01_10_20</vt:lpstr>
      <vt:lpstr>30-10-20</vt:lpstr>
      <vt:lpstr>30-11-20</vt:lpstr>
      <vt:lpstr>31-12-20</vt:lpstr>
      <vt:lpstr>31-01-21</vt:lpstr>
      <vt:lpstr>28-02-21</vt:lpstr>
      <vt:lpstr>31-03-21</vt:lpstr>
      <vt:lpstr>30-04-21</vt:lpstr>
      <vt:lpstr>30-06-21</vt:lpstr>
      <vt:lpstr>30-07-21</vt:lpstr>
      <vt:lpstr>31-08-21</vt:lpstr>
      <vt:lpstr>30-09-21</vt:lpstr>
      <vt:lpstr>29-10-21</vt:lpstr>
      <vt:lpstr>30-11-21</vt:lpstr>
      <vt:lpstr>31-12-21</vt:lpstr>
      <vt:lpstr>31-01-22</vt:lpstr>
      <vt:lpstr>02-03022</vt:lpstr>
      <vt:lpstr>02-04-22</vt:lpstr>
      <vt:lpstr>30-04-22</vt:lpstr>
      <vt:lpstr>31-05-22</vt:lpstr>
      <vt:lpstr>30-06-22</vt:lpstr>
      <vt:lpstr>31-07-22</vt:lpstr>
      <vt:lpstr>31-08-22</vt:lpstr>
      <vt:lpstr>30-09-22</vt:lpstr>
      <vt:lpstr>31-10-22</vt:lpstr>
      <vt:lpstr>30-11-22</vt:lpstr>
      <vt:lpstr>30-12-22</vt:lpstr>
      <vt:lpstr>31-01-23</vt:lpstr>
      <vt:lpstr>28-02-23</vt:lpstr>
      <vt:lpstr>31-03-23</vt:lpstr>
      <vt:lpstr>28-04-23</vt:lpstr>
      <vt:lpstr>31-05-23</vt:lpstr>
      <vt:lpstr>30-06-23</vt:lpstr>
      <vt:lpstr>31-07-23</vt:lpstr>
      <vt:lpstr>31-08-23</vt:lpstr>
      <vt:lpstr>30-09-23</vt:lpstr>
      <vt:lpstr>31-10-23</vt:lpstr>
      <vt:lpstr>30-11-23</vt:lpstr>
      <vt:lpstr>29-12-23</vt:lpstr>
      <vt:lpstr>31-01-24</vt:lpstr>
      <vt:lpstr>29-02-24</vt:lpstr>
      <vt:lpstr>28-03-24</vt:lpstr>
      <vt:lpstr>plus 1</vt:lpstr>
      <vt:lpstr>31-05-24</vt:lpstr>
      <vt:lpstr>28-06</vt:lpstr>
      <vt:lpstr>31-07-24</vt:lpstr>
      <vt:lpstr>31-08-24</vt:lpstr>
      <vt:lpstr>30-09-24</vt:lpstr>
      <vt:lpstr>31-10-24</vt:lpstr>
      <vt:lpstr>30-11-24</vt:lpstr>
      <vt:lpstr>31-12-24</vt:lpstr>
      <vt:lpstr>31-01-25</vt:lpstr>
      <vt:lpstr>28-02-2025</vt:lpstr>
      <vt:lpstr>31-03-2025</vt:lpstr>
      <vt:lpstr>30-04-2025</vt:lpstr>
      <vt:lpstr>31-05-2025</vt:lpstr>
      <vt:lpstr>30-06-2025</vt:lpstr>
      <vt:lpstr>31-07-2025</vt:lpstr>
      <vt:lpstr>31-08-2025</vt:lpstr>
      <vt:lpstr>30-09-2025</vt:lpstr>
      <vt:lpstr>31-10-2025</vt:lpstr>
      <vt:lpstr>28-11-2025</vt:lpstr>
      <vt:lpstr>31-12-2025</vt:lpstr>
      <vt:lpstr>31-01-2026</vt:lpstr>
      <vt:lpstr>28-02-2026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Martin</dc:creator>
  <cp:lastModifiedBy>Martin Green</cp:lastModifiedBy>
  <dcterms:created xsi:type="dcterms:W3CDTF">2020-04-30T16:30:59Z</dcterms:created>
  <dcterms:modified xsi:type="dcterms:W3CDTF">2026-03-17T12:37:34Z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0x010100CA2FD6F1506F564BB79A97F9C245AD34</vt:lpwstr>
  </property>
</Properties>
</file>