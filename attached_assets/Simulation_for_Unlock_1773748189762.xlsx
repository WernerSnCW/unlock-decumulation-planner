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2945482ed0d909/Documents/Personnal_Folders/Personnal_Folders/Personal Finance/INvestments/Unlock/"/>
    </mc:Choice>
  </mc:AlternateContent>
  <xr:revisionPtr revIDLastSave="0" documentId="8_{A60DDA5E-95B6-4EA5-88EF-DDD70A6BA43B}" xr6:coauthVersionLast="47" xr6:coauthVersionMax="47" xr10:uidLastSave="{00000000-0000-0000-0000-000000000000}"/>
  <bookViews>
    <workbookView xWindow="-110" yWindow="-110" windowWidth="19420" windowHeight="11500" activeTab="7" xr2:uid="{C4E14523-B079-461F-A1A8-0A6402945343}"/>
  </bookViews>
  <sheets>
    <sheet name="Investments" sheetId="1" r:id="rId1"/>
    <sheet name="ISA True Potential" sheetId="5" r:id="rId2"/>
    <sheet name="Fundsmith" sheetId="6" r:id="rId3"/>
    <sheet name="II" sheetId="2" r:id="rId4"/>
    <sheet name="CWC ISA" sheetId="3" r:id="rId5"/>
    <sheet name="CWC GIA" sheetId="4" r:id="rId6"/>
    <sheet name="Pension Summary" sheetId="10" r:id="rId7"/>
    <sheet name="Pension on True Potential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0" l="1"/>
  <c r="H16" i="1"/>
  <c r="O11" i="1"/>
  <c r="J14" i="1"/>
  <c r="P12" i="1"/>
  <c r="J13" i="1"/>
  <c r="J12" i="1"/>
  <c r="J11" i="1"/>
  <c r="I10" i="1"/>
  <c r="H10" i="1"/>
  <c r="J9" i="1"/>
  <c r="J8" i="1"/>
  <c r="J7" i="1"/>
  <c r="J6" i="1"/>
  <c r="I6" i="1"/>
  <c r="H6" i="1"/>
  <c r="P9" i="1" l="1"/>
  <c r="O16" i="1" s="1"/>
</calcChain>
</file>

<file path=xl/sharedStrings.xml><?xml version="1.0" encoding="utf-8"?>
<sst xmlns="http://schemas.openxmlformats.org/spreadsheetml/2006/main" count="235" uniqueCount="186">
  <si>
    <t>Liquid Assests</t>
  </si>
  <si>
    <t xml:space="preserve">Read This </t>
  </si>
  <si>
    <t>Tied Assests</t>
  </si>
  <si>
    <t>b</t>
  </si>
  <si>
    <t>Prod</t>
  </si>
  <si>
    <t>Where</t>
  </si>
  <si>
    <t>Who</t>
  </si>
  <si>
    <t>Amount</t>
  </si>
  <si>
    <t>ISA</t>
  </si>
  <si>
    <t>MG</t>
  </si>
  <si>
    <t>FundSmith</t>
  </si>
  <si>
    <t>155K</t>
  </si>
  <si>
    <t>Intractive Investor</t>
  </si>
  <si>
    <t>Cars</t>
  </si>
  <si>
    <t>Unlock</t>
  </si>
  <si>
    <t>Post Office</t>
  </si>
  <si>
    <t>Rented Properties</t>
  </si>
  <si>
    <t>House</t>
  </si>
  <si>
    <t>3bed</t>
  </si>
  <si>
    <t>HSBC</t>
  </si>
  <si>
    <t>Total</t>
  </si>
  <si>
    <t>SAP Now CWC GIA</t>
  </si>
  <si>
    <t>﻿﻿﻿﻿﻿﻿﻿﻿﻿﻿﻿﻿﻿﻿﻿﻿﻿﻿﻿﻿Symbol</t>
  </si>
  <si>
    <t>Name</t>
  </si>
  <si>
    <t>Qty</t>
  </si>
  <si>
    <t>Price</t>
  </si>
  <si>
    <t>Day Gain/Loss</t>
  </si>
  <si>
    <t>Day Gain/Loss %</t>
  </si>
  <si>
    <t>Market Value £</t>
  </si>
  <si>
    <t>Market Value</t>
  </si>
  <si>
    <t>Book Cost</t>
  </si>
  <si>
    <t>Gain/Loss</t>
  </si>
  <si>
    <t>Gain/Loss %</t>
  </si>
  <si>
    <t>Average Price</t>
  </si>
  <si>
    <t>AIR</t>
  </si>
  <si>
    <t>Airbus SE</t>
  </si>
  <si>
    <t>ARCM</t>
  </si>
  <si>
    <t>Arc Minerals Ltd</t>
  </si>
  <si>
    <t>0.475p</t>
  </si>
  <si>
    <t>4.025p</t>
  </si>
  <si>
    <t>BCE</t>
  </si>
  <si>
    <t>Beacon Energy  Ordinary Shares</t>
  </si>
  <si>
    <t>0.0039p</t>
  </si>
  <si>
    <t>2.2171p</t>
  </si>
  <si>
    <t>BP.</t>
  </si>
  <si>
    <t>BP</t>
  </si>
  <si>
    <t>421.40p</t>
  </si>
  <si>
    <t>361.1724p</t>
  </si>
  <si>
    <t>CWR</t>
  </si>
  <si>
    <t>Ceres Power Holdings</t>
  </si>
  <si>
    <t>225.60p</t>
  </si>
  <si>
    <t>1,270.375p</t>
  </si>
  <si>
    <t>CRTX</t>
  </si>
  <si>
    <t>Crism Therapeutics Corp</t>
  </si>
  <si>
    <t>11.00p</t>
  </si>
  <si>
    <t>307.0909p</t>
  </si>
  <si>
    <t>EL</t>
  </si>
  <si>
    <t>Essilorluxottica</t>
  </si>
  <si>
    <t>FTNT</t>
  </si>
  <si>
    <t>Fortinet Inc</t>
  </si>
  <si>
    <t>$84.32</t>
  </si>
  <si>
    <t>$-4.40</t>
  </si>
  <si>
    <t>$843.20</t>
  </si>
  <si>
    <t>$805.94</t>
  </si>
  <si>
    <t>$37.26</t>
  </si>
  <si>
    <t>$80.594</t>
  </si>
  <si>
    <t>IBST</t>
  </si>
  <si>
    <t>Ibstock</t>
  </si>
  <si>
    <t>137.80p</t>
  </si>
  <si>
    <t>294.5455p</t>
  </si>
  <si>
    <t>ISRG</t>
  </si>
  <si>
    <t>Intuitive Surgical Inc</t>
  </si>
  <si>
    <t>$524.80</t>
  </si>
  <si>
    <t>$62.28</t>
  </si>
  <si>
    <t>$578.51</t>
  </si>
  <si>
    <t>$-53.71</t>
  </si>
  <si>
    <t>JOBY</t>
  </si>
  <si>
    <t>Joby Aviation Inc</t>
  </si>
  <si>
    <t>$14.97</t>
  </si>
  <si>
    <t>$-292.50</t>
  </si>
  <si>
    <t>$3,892.20</t>
  </si>
  <si>
    <t>$1,322.37</t>
  </si>
  <si>
    <t>$2,569.83</t>
  </si>
  <si>
    <t>$5.086038</t>
  </si>
  <si>
    <t>NEM</t>
  </si>
  <si>
    <t>Newmont Corp</t>
  </si>
  <si>
    <t>$85.51</t>
  </si>
  <si>
    <t>$-11.55</t>
  </si>
  <si>
    <t>$1,282.65</t>
  </si>
  <si>
    <t>$1,208.34</t>
  </si>
  <si>
    <t>$74.31</t>
  </si>
  <si>
    <t>$80.556</t>
  </si>
  <si>
    <t>NVO</t>
  </si>
  <si>
    <t>Novo Nordisk AS ADR</t>
  </si>
  <si>
    <t>$53.13</t>
  </si>
  <si>
    <t>$-21.45</t>
  </si>
  <si>
    <t>$690.69</t>
  </si>
  <si>
    <t>$782.22</t>
  </si>
  <si>
    <t>$-91.53</t>
  </si>
  <si>
    <t>$60.170769</t>
  </si>
  <si>
    <t>PANW</t>
  </si>
  <si>
    <t>Palo Alto Networks Inc</t>
  </si>
  <si>
    <t>$211.84</t>
  </si>
  <si>
    <t>$-37.05</t>
  </si>
  <si>
    <t>$3,177.60</t>
  </si>
  <si>
    <t>$3,051.37</t>
  </si>
  <si>
    <t>$126.23</t>
  </si>
  <si>
    <t>$203.424667</t>
  </si>
  <si>
    <t>RHM</t>
  </si>
  <si>
    <t>Rheinmetall AG</t>
  </si>
  <si>
    <t>RR.</t>
  </si>
  <si>
    <t>Rolls-Royce Holdings</t>
  </si>
  <si>
    <t>1,102.50p</t>
  </si>
  <si>
    <t>204.3646p</t>
  </si>
  <si>
    <t>SAV</t>
  </si>
  <si>
    <t>Savannah Resources</t>
  </si>
  <si>
    <t>4.25p</t>
  </si>
  <si>
    <t>8.7799p</t>
  </si>
  <si>
    <t>SOLG</t>
  </si>
  <si>
    <t>SolGold</t>
  </si>
  <si>
    <t>16.20p</t>
  </si>
  <si>
    <t>42.7151p</t>
  </si>
  <si>
    <t>TBTG</t>
  </si>
  <si>
    <t>The Beauty Tech Group Ltd</t>
  </si>
  <si>
    <t>271.00p</t>
  </si>
  <si>
    <t>VCT</t>
  </si>
  <si>
    <t>Victrex</t>
  </si>
  <si>
    <t>663.00p</t>
  </si>
  <si>
    <t>2,334.50p</t>
  </si>
  <si>
    <t>WPP</t>
  </si>
  <si>
    <t>366.90p</t>
  </si>
  <si>
    <t>986.70p</t>
  </si>
  <si>
    <t>XPP</t>
  </si>
  <si>
    <t>XP Power Ltd</t>
  </si>
  <si>
    <t>1,034.00p</t>
  </si>
  <si>
    <t>3,729.80p</t>
  </si>
  <si>
    <t>Totals</t>
  </si>
  <si>
    <t>GBP</t>
  </si>
  <si>
    <t>USD</t>
  </si>
  <si>
    <t>$-304.67</t>
  </si>
  <si>
    <t>$10,411.14</t>
  </si>
  <si>
    <t>$7,748.75</t>
  </si>
  <si>
    <t>$2,662.39</t>
  </si>
  <si>
    <t>EUR</t>
  </si>
  <si>
    <t xml:space="preserve">PLUS </t>
  </si>
  <si>
    <t>£928 Cash</t>
  </si>
  <si>
    <t>Taken at 1855 22/10</t>
  </si>
  <si>
    <t>Stock Name</t>
  </si>
  <si>
    <t>Stock Code</t>
  </si>
  <si>
    <t>Quantity</t>
  </si>
  <si>
    <t>Book cost</t>
  </si>
  <si>
    <t>Value</t>
  </si>
  <si>
    <t>Valuation Currency</t>
  </si>
  <si>
    <t>Profit</t>
  </si>
  <si>
    <t>Profit (%)</t>
  </si>
  <si>
    <t>Market Currency</t>
  </si>
  <si>
    <t>Exchange Rate</t>
  </si>
  <si>
    <t>CYKEL AI PLC ORD GBP0.10</t>
  </si>
  <si>
    <t>BQYLVW9</t>
  </si>
  <si>
    <t>Cash GBP</t>
  </si>
  <si>
    <t>C@SHGBP</t>
  </si>
  <si>
    <t>SUNDAE BAR PLC ORD GBP0.001</t>
  </si>
  <si>
    <t>BRXKJ75</t>
  </si>
  <si>
    <t>CRISM THERAPEUTICS CORPORATION ORD NPV</t>
  </si>
  <si>
    <t>BS60QF6</t>
  </si>
  <si>
    <t>RICHMOND HILL RESOURCES PLC ORD GBP0.001</t>
  </si>
  <si>
    <t>BNTBWF3</t>
  </si>
  <si>
    <t>SAP SE ORD NPV</t>
  </si>
  <si>
    <t xml:space="preserve">1969 MGB </t>
  </si>
  <si>
    <t>1965 E-type</t>
  </si>
  <si>
    <t>Nat West Capital Account Cash</t>
  </si>
  <si>
    <t>Premium Bonds Cash</t>
  </si>
  <si>
    <t>MG ClearWaterCapital ISA</t>
  </si>
  <si>
    <t>MG ClearWaterCapital GIA</t>
  </si>
  <si>
    <t>Product</t>
  </si>
  <si>
    <t>True Potential</t>
  </si>
  <si>
    <t>Home</t>
  </si>
  <si>
    <t>I have 2 ISA's</t>
  </si>
  <si>
    <t>ISA 2</t>
  </si>
  <si>
    <t>Pension one</t>
  </si>
  <si>
    <t>Pension 2</t>
  </si>
  <si>
    <t>Remploy</t>
  </si>
  <si>
    <t>1st october</t>
  </si>
  <si>
    <t xml:space="preserve">Pension 1 on True Potential </t>
  </si>
  <si>
    <t xml:space="preserve">Pension 2 on True Potential </t>
  </si>
  <si>
    <t>Note this is a Final Salary monthly payment of £879 pcm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</si>
</sst>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[$€-2]\ #,##0.00;[Red]\-[$€-2]\ #,##0.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/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4" fillId="0" borderId="0" xfId="0" applyFont="1"/>
    <xf numFmtId="14" fontId="0" fillId="0" borderId="0" xfId="0" applyNumberFormat="1"/>
    <xf numFmtId="3" fontId="4" fillId="0" borderId="0" xfId="0" applyNumberFormat="1" applyFont="1"/>
    <xf numFmtId="3" fontId="0" fillId="0" borderId="0" xfId="0" applyNumberFormat="1"/>
    <xf numFmtId="0" fontId="3" fillId="0" borderId="0" xfId="0" applyFont="1"/>
    <xf numFmtId="0" fontId="5" fillId="0" borderId="0" xfId="0" applyFont="1"/>
    <xf numFmtId="3" fontId="0" fillId="0" borderId="1" xfId="0" applyNumberFormat="1" applyBorder="1"/>
    <xf numFmtId="17" fontId="0" fillId="0" borderId="0" xfId="0" applyNumberFormat="1"/>
    <xf numFmtId="0" fontId="0" fillId="6" borderId="0" xfId="0" applyFill="1"/>
    <xf numFmtId="0" fontId="2" fillId="0" borderId="0" xfId="2" applyFill="1"/>
    <xf numFmtId="0" fontId="1" fillId="2" borderId="0" xfId="1"/>
    <xf numFmtId="3" fontId="0" fillId="7" borderId="0" xfId="0" applyNumberFormat="1" applyFill="1"/>
    <xf numFmtId="3" fontId="2" fillId="0" borderId="0" xfId="2" applyNumberFormat="1" applyFill="1"/>
    <xf numFmtId="17" fontId="2" fillId="0" borderId="0" xfId="2" applyNumberFormat="1" applyFill="1"/>
    <xf numFmtId="2" fontId="2" fillId="0" borderId="0" xfId="2" applyNumberFormat="1" applyFill="1"/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4" fontId="0" fillId="0" borderId="0" xfId="0" applyNumberFormat="1"/>
    <xf numFmtId="0" fontId="0" fillId="0" borderId="2" xfId="0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31</xdr:col>
      <xdr:colOff>607314</xdr:colOff>
      <xdr:row>61</xdr:row>
      <xdr:rowOff>62157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5C910-1A99-4CA2-C9C8-E320A5AC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52450"/>
          <a:ext cx="18285714" cy="10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31</xdr:col>
      <xdr:colOff>607314</xdr:colOff>
      <xdr:row>122</xdr:row>
      <xdr:rowOff>62157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09D9CE-65E6-3FDF-F334-CBB6AA1FE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1785600"/>
          <a:ext cx="18285714" cy="107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31</xdr:col>
      <xdr:colOff>607314</xdr:colOff>
      <xdr:row>60</xdr:row>
      <xdr:rowOff>62157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4B5D9-D67F-CC9A-0B90-E0ECCBC0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8300"/>
          <a:ext cx="18285714" cy="107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32</xdr:col>
      <xdr:colOff>607314</xdr:colOff>
      <xdr:row>59</xdr:row>
      <xdr:rowOff>62157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BF88F-1445-1297-CED0-0FA41BC5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4150"/>
          <a:ext cx="18285714" cy="107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32</xdr:col>
      <xdr:colOff>607314</xdr:colOff>
      <xdr:row>120</xdr:row>
      <xdr:rowOff>62157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6FC443-48D3-FF86-54B3-4E3BC9DAB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1417300"/>
          <a:ext cx="18285714" cy="10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3B78-FDFA-417D-A3EE-A6F546493816}">
  <dimension ref="B3:Q24"/>
  <sheetViews>
    <sheetView topLeftCell="A2" workbookViewId="0">
      <selection activeCell="D5" sqref="D5:D14"/>
    </sheetView>
  </sheetViews>
  <sheetFormatPr defaultRowHeight="14.5" x14ac:dyDescent="0.35"/>
  <cols>
    <col min="5" max="5" width="25.90625" bestFit="1" customWidth="1"/>
    <col min="6" max="6" width="9.7265625" bestFit="1" customWidth="1"/>
    <col min="7" max="7" width="4.7265625" bestFit="1" customWidth="1"/>
    <col min="8" max="9" width="10.08984375" bestFit="1" customWidth="1"/>
  </cols>
  <sheetData>
    <row r="3" spans="2:17" x14ac:dyDescent="0.35">
      <c r="B3" s="1">
        <v>201</v>
      </c>
    </row>
    <row r="4" spans="2:17" x14ac:dyDescent="0.35">
      <c r="E4" t="s">
        <v>0</v>
      </c>
      <c r="H4" s="2" t="s">
        <v>1</v>
      </c>
      <c r="L4" t="s">
        <v>2</v>
      </c>
      <c r="P4">
        <v>524438</v>
      </c>
      <c r="Q4" t="s">
        <v>3</v>
      </c>
    </row>
    <row r="5" spans="2:17" x14ac:dyDescent="0.35">
      <c r="B5" s="3"/>
      <c r="E5" s="4" t="s">
        <v>174</v>
      </c>
      <c r="F5" s="4" t="s">
        <v>5</v>
      </c>
      <c r="G5" s="4" t="s">
        <v>6</v>
      </c>
      <c r="H5" s="5">
        <v>45930</v>
      </c>
      <c r="I5" s="5">
        <v>45899</v>
      </c>
      <c r="J5" s="5"/>
      <c r="K5" s="4"/>
      <c r="L5" s="4" t="s">
        <v>4</v>
      </c>
      <c r="M5" s="4" t="s">
        <v>5</v>
      </c>
      <c r="N5" s="4" t="s">
        <v>6</v>
      </c>
      <c r="O5" s="6" t="s">
        <v>7</v>
      </c>
    </row>
    <row r="6" spans="2:17" x14ac:dyDescent="0.35">
      <c r="E6" t="s">
        <v>8</v>
      </c>
      <c r="F6" t="s">
        <v>175</v>
      </c>
      <c r="G6" t="s">
        <v>9</v>
      </c>
      <c r="H6" s="7">
        <f>42082+28134</f>
        <v>70216</v>
      </c>
      <c r="I6" s="7">
        <f>41393+27222</f>
        <v>68615</v>
      </c>
      <c r="J6" s="7" t="e">
        <f>#REF!-#REF!</f>
        <v>#REF!</v>
      </c>
      <c r="K6" s="4"/>
      <c r="L6" s="4" t="s">
        <v>13</v>
      </c>
    </row>
    <row r="7" spans="2:17" x14ac:dyDescent="0.35">
      <c r="E7" s="9" t="s">
        <v>10</v>
      </c>
      <c r="G7" t="s">
        <v>9</v>
      </c>
      <c r="H7" s="7">
        <v>11155</v>
      </c>
      <c r="I7" s="7">
        <v>11348</v>
      </c>
      <c r="J7" s="7" t="e">
        <f>#REF!-#REF!</f>
        <v>#REF!</v>
      </c>
      <c r="K7" s="4"/>
      <c r="L7" t="s">
        <v>169</v>
      </c>
      <c r="O7">
        <v>85500</v>
      </c>
    </row>
    <row r="8" spans="2:17" x14ac:dyDescent="0.35">
      <c r="E8" s="9" t="s">
        <v>12</v>
      </c>
      <c r="G8" t="s">
        <v>9</v>
      </c>
      <c r="H8" s="7">
        <v>20077</v>
      </c>
      <c r="I8" s="7">
        <v>18515</v>
      </c>
      <c r="J8" s="7" t="e">
        <f>#REF!-#REF!</f>
        <v>#REF!</v>
      </c>
      <c r="K8" s="4"/>
      <c r="L8" s="9" t="s">
        <v>168</v>
      </c>
      <c r="O8">
        <v>9000</v>
      </c>
      <c r="P8" s="9" t="s">
        <v>11</v>
      </c>
    </row>
    <row r="9" spans="2:17" ht="15" thickBot="1" x14ac:dyDescent="0.4">
      <c r="E9" s="9" t="s">
        <v>172</v>
      </c>
      <c r="G9" t="s">
        <v>9</v>
      </c>
      <c r="H9" s="7">
        <v>26330</v>
      </c>
      <c r="I9" s="7">
        <v>27435</v>
      </c>
      <c r="J9" s="7" t="e">
        <f>#REF!-#REF!</f>
        <v>#REF!</v>
      </c>
      <c r="K9" s="4"/>
      <c r="L9" s="9"/>
      <c r="P9" s="10">
        <f>SUM(O7:O9)</f>
        <v>94500</v>
      </c>
    </row>
    <row r="10" spans="2:17" ht="15" thickTop="1" x14ac:dyDescent="0.35">
      <c r="E10" s="9" t="s">
        <v>173</v>
      </c>
      <c r="G10" t="s">
        <v>9</v>
      </c>
      <c r="H10" s="7">
        <f>372402-H14</f>
        <v>31951</v>
      </c>
      <c r="I10" s="7">
        <f>381940-I14</f>
        <v>33292</v>
      </c>
      <c r="J10" s="7"/>
      <c r="K10" s="4"/>
      <c r="L10" s="4" t="s">
        <v>16</v>
      </c>
    </row>
    <row r="11" spans="2:17" x14ac:dyDescent="0.35">
      <c r="E11" s="9" t="s">
        <v>14</v>
      </c>
      <c r="G11" t="s">
        <v>9</v>
      </c>
      <c r="H11" s="7">
        <v>40000</v>
      </c>
      <c r="I11" s="7">
        <v>40000</v>
      </c>
      <c r="J11" s="7" t="e">
        <f>#REF!-#REF!</f>
        <v>#REF!</v>
      </c>
      <c r="K11" s="4"/>
      <c r="L11" s="9" t="s">
        <v>17</v>
      </c>
      <c r="M11" s="9" t="s">
        <v>18</v>
      </c>
      <c r="N11" t="s">
        <v>19</v>
      </c>
      <c r="O11" s="15">
        <f>38000+1500+2500+2500+4000+5500</f>
        <v>54000</v>
      </c>
      <c r="P11" s="9"/>
    </row>
    <row r="12" spans="2:17" ht="15" thickBot="1" x14ac:dyDescent="0.4">
      <c r="E12" s="9" t="s">
        <v>170</v>
      </c>
      <c r="H12" s="7">
        <v>96625</v>
      </c>
      <c r="I12" s="7">
        <v>102999</v>
      </c>
      <c r="J12" s="7" t="e">
        <f>#REF!-#REF!</f>
        <v>#REF!</v>
      </c>
      <c r="K12" s="4"/>
      <c r="L12" s="9" t="s">
        <v>20</v>
      </c>
      <c r="P12" s="10">
        <f>SUM(O11:O11)</f>
        <v>54000</v>
      </c>
    </row>
    <row r="13" spans="2:17" ht="15" thickTop="1" x14ac:dyDescent="0.35">
      <c r="E13" t="s">
        <v>171</v>
      </c>
      <c r="F13" t="s">
        <v>15</v>
      </c>
      <c r="G13" t="s">
        <v>9</v>
      </c>
      <c r="H13" s="7">
        <v>50000</v>
      </c>
      <c r="I13" s="7">
        <v>50000</v>
      </c>
      <c r="J13" s="7" t="e">
        <f>#REF!-#REF!</f>
        <v>#REF!</v>
      </c>
      <c r="K13" s="4"/>
      <c r="P13" s="9"/>
    </row>
    <row r="14" spans="2:17" ht="15" thickBot="1" x14ac:dyDescent="0.4">
      <c r="E14" t="s">
        <v>21</v>
      </c>
      <c r="G14" t="s">
        <v>9</v>
      </c>
      <c r="H14" s="7">
        <v>340451</v>
      </c>
      <c r="I14" s="7">
        <v>348648</v>
      </c>
      <c r="J14" s="7" t="e">
        <f>#REF!-#REF!</f>
        <v>#REF!</v>
      </c>
      <c r="K14" s="4"/>
      <c r="L14" s="9" t="s">
        <v>176</v>
      </c>
      <c r="P14" s="10">
        <v>425000</v>
      </c>
    </row>
    <row r="15" spans="2:17" ht="15" thickTop="1" x14ac:dyDescent="0.35">
      <c r="K15" s="4"/>
      <c r="P15" s="9"/>
      <c r="Q15" s="11"/>
    </row>
    <row r="16" spans="2:17" ht="15" thickBot="1" x14ac:dyDescent="0.4">
      <c r="H16" s="10">
        <f>SUM(H6:H15)</f>
        <v>686805</v>
      </c>
      <c r="K16" s="4"/>
      <c r="O16" s="10">
        <f>P9+P12+P14</f>
        <v>573500</v>
      </c>
      <c r="P16" s="9"/>
    </row>
    <row r="17" spans="2:16" ht="15" thickTop="1" x14ac:dyDescent="0.35">
      <c r="K17" s="6"/>
      <c r="P17" s="9"/>
    </row>
    <row r="18" spans="2:16" x14ac:dyDescent="0.35">
      <c r="E18" s="9"/>
      <c r="H18" s="12"/>
      <c r="I18" s="12"/>
      <c r="J18" s="7"/>
      <c r="K18" s="4"/>
    </row>
    <row r="19" spans="2:16" x14ac:dyDescent="0.35">
      <c r="B19" s="9">
        <v>139.47999999999999</v>
      </c>
      <c r="C19" s="13"/>
      <c r="E19" s="9"/>
      <c r="H19" s="12"/>
      <c r="I19" s="12"/>
      <c r="J19" s="7"/>
      <c r="K19" s="4"/>
    </row>
    <row r="20" spans="2:16" x14ac:dyDescent="0.35">
      <c r="B20" s="14"/>
      <c r="C20" s="14"/>
      <c r="D20" s="13"/>
      <c r="K20" s="4"/>
    </row>
    <row r="21" spans="2:16" x14ac:dyDescent="0.35">
      <c r="B21" s="14"/>
      <c r="C21" s="14"/>
      <c r="K21" s="4"/>
    </row>
    <row r="22" spans="2:16" x14ac:dyDescent="0.35">
      <c r="B22" s="14"/>
      <c r="C22" s="14"/>
      <c r="K22" s="4"/>
      <c r="P22">
        <v>73707</v>
      </c>
    </row>
    <row r="23" spans="2:16" x14ac:dyDescent="0.35">
      <c r="B23" s="13"/>
      <c r="C23" s="13"/>
      <c r="D23" s="13"/>
      <c r="J23" s="16"/>
      <c r="K23" s="4"/>
      <c r="P23" s="17"/>
    </row>
    <row r="24" spans="2:16" x14ac:dyDescent="0.35">
      <c r="B24" s="13"/>
      <c r="C24" s="13"/>
      <c r="D24" s="13"/>
      <c r="E24" s="13"/>
      <c r="F24" s="18"/>
      <c r="G24" s="13"/>
      <c r="J24" s="16"/>
      <c r="K24" s="13"/>
      <c r="L24" s="13"/>
      <c r="M24" s="13"/>
      <c r="N24" s="13"/>
      <c r="O24" s="13"/>
      <c r="P2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5211-3BBB-475F-89F3-C5443D1C8413}">
  <dimension ref="A2:C65"/>
  <sheetViews>
    <sheetView workbookViewId="0">
      <selection activeCell="C65" sqref="C65"/>
    </sheetView>
  </sheetViews>
  <sheetFormatPr defaultRowHeight="14.5" x14ac:dyDescent="0.35"/>
  <sheetData>
    <row r="2" spans="1:3" x14ac:dyDescent="0.35">
      <c r="C2" t="s">
        <v>177</v>
      </c>
    </row>
    <row r="4" spans="1:3" x14ac:dyDescent="0.35">
      <c r="A4">
        <v>1</v>
      </c>
    </row>
    <row r="65" spans="1:1" x14ac:dyDescent="0.35">
      <c r="A65" t="s">
        <v>178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C71C-25FE-4E08-B966-D8FA976EAECC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636-D2AC-4D53-8E27-47639D0A56D0}">
  <dimension ref="A1:L31"/>
  <sheetViews>
    <sheetView workbookViewId="0">
      <selection activeCell="F14" sqref="F14"/>
    </sheetView>
  </sheetViews>
  <sheetFormatPr defaultRowHeight="14.5" x14ac:dyDescent="0.35"/>
  <cols>
    <col min="1" max="1" width="6.6328125" bestFit="1" customWidth="1"/>
    <col min="2" max="2" width="26.54296875" bestFit="1" customWidth="1"/>
    <col min="3" max="3" width="5.81640625" bestFit="1" customWidth="1"/>
    <col min="4" max="4" width="17.1796875" bestFit="1" customWidth="1"/>
    <col min="5" max="5" width="12.36328125" bestFit="1" customWidth="1"/>
    <col min="6" max="6" width="14.36328125" bestFit="1" customWidth="1"/>
    <col min="7" max="7" width="12.7265625" bestFit="1" customWidth="1"/>
    <col min="8" max="8" width="11.36328125" bestFit="1" customWidth="1"/>
    <col min="9" max="10" width="9.26953125" bestFit="1" customWidth="1"/>
    <col min="11" max="11" width="10.81640625" bestFit="1" customWidth="1"/>
    <col min="12" max="12" width="11.81640625" bestFit="1" customWidth="1"/>
  </cols>
  <sheetData>
    <row r="1" spans="1:12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35">
      <c r="A2" t="s">
        <v>34</v>
      </c>
      <c r="B2" t="s">
        <v>35</v>
      </c>
      <c r="C2">
        <v>18</v>
      </c>
      <c r="D2" s="19">
        <v>205.8</v>
      </c>
      <c r="E2" s="19">
        <v>-27.9</v>
      </c>
      <c r="F2" s="20">
        <v>-7.4999999999999997E-3</v>
      </c>
      <c r="G2" s="21">
        <v>3220.4</v>
      </c>
      <c r="H2" s="19">
        <v>3704.4</v>
      </c>
      <c r="I2" s="19">
        <v>2562.89</v>
      </c>
      <c r="J2" s="19">
        <v>1141.51</v>
      </c>
      <c r="K2" s="20">
        <v>0.44540000000000002</v>
      </c>
      <c r="L2" s="19">
        <v>142.38</v>
      </c>
    </row>
    <row r="3" spans="1:12" x14ac:dyDescent="0.35">
      <c r="A3" t="s">
        <v>36</v>
      </c>
      <c r="B3" t="s">
        <v>37</v>
      </c>
      <c r="C3">
        <v>3726</v>
      </c>
      <c r="D3" t="s">
        <v>38</v>
      </c>
      <c r="E3" s="21">
        <v>-0.93</v>
      </c>
      <c r="F3" s="20">
        <v>-4.7600000000000003E-2</v>
      </c>
      <c r="G3" s="21">
        <v>17.7</v>
      </c>
      <c r="H3" s="21">
        <v>17.7</v>
      </c>
      <c r="I3" s="21">
        <v>149.97</v>
      </c>
      <c r="J3" s="21">
        <v>-132.27000000000001</v>
      </c>
      <c r="K3" s="20">
        <v>-0.88200000000000001</v>
      </c>
      <c r="L3" t="s">
        <v>39</v>
      </c>
    </row>
    <row r="4" spans="1:12" x14ac:dyDescent="0.35">
      <c r="A4" t="s">
        <v>40</v>
      </c>
      <c r="B4" t="s">
        <v>41</v>
      </c>
      <c r="C4">
        <v>36082</v>
      </c>
      <c r="D4" t="s">
        <v>42</v>
      </c>
      <c r="E4" s="21">
        <v>0</v>
      </c>
      <c r="F4" s="20">
        <v>0</v>
      </c>
      <c r="G4" s="21">
        <v>1.41</v>
      </c>
      <c r="H4" s="21">
        <v>1.41</v>
      </c>
      <c r="I4" s="21">
        <v>799.99</v>
      </c>
      <c r="J4" s="21">
        <v>-798.58</v>
      </c>
      <c r="K4" s="20">
        <v>-0.99819999999999998</v>
      </c>
      <c r="L4" t="s">
        <v>43</v>
      </c>
    </row>
    <row r="5" spans="1:12" x14ac:dyDescent="0.35">
      <c r="A5" t="s">
        <v>44</v>
      </c>
      <c r="B5" t="s">
        <v>45</v>
      </c>
      <c r="C5">
        <v>58</v>
      </c>
      <c r="D5" t="s">
        <v>46</v>
      </c>
      <c r="E5" s="21">
        <v>4.09</v>
      </c>
      <c r="F5" s="20">
        <v>1.7000000000000001E-2</v>
      </c>
      <c r="G5" s="21">
        <v>244.41</v>
      </c>
      <c r="H5" s="21">
        <v>244.41</v>
      </c>
      <c r="I5" s="21">
        <v>209.48</v>
      </c>
      <c r="J5" s="21">
        <v>34.93</v>
      </c>
      <c r="K5" s="20">
        <v>0.16669999999999999</v>
      </c>
      <c r="L5" t="s">
        <v>47</v>
      </c>
    </row>
    <row r="6" spans="1:12" x14ac:dyDescent="0.35">
      <c r="A6" t="s">
        <v>48</v>
      </c>
      <c r="B6" t="s">
        <v>49</v>
      </c>
      <c r="C6">
        <v>80</v>
      </c>
      <c r="D6" t="s">
        <v>50</v>
      </c>
      <c r="E6" s="21">
        <v>-4.96</v>
      </c>
      <c r="F6" s="20">
        <v>-2.6800000000000001E-2</v>
      </c>
      <c r="G6" s="21">
        <v>180.48</v>
      </c>
      <c r="H6" s="21">
        <v>180.48</v>
      </c>
      <c r="I6" s="21">
        <v>1016.3</v>
      </c>
      <c r="J6" s="21">
        <v>-835.82</v>
      </c>
      <c r="K6" s="20">
        <v>-0.82240000000000002</v>
      </c>
      <c r="L6" t="s">
        <v>51</v>
      </c>
    </row>
    <row r="7" spans="1:12" x14ac:dyDescent="0.35">
      <c r="A7" t="s">
        <v>52</v>
      </c>
      <c r="B7" t="s">
        <v>53</v>
      </c>
      <c r="C7">
        <v>143</v>
      </c>
      <c r="D7" t="s">
        <v>54</v>
      </c>
      <c r="E7" s="21">
        <v>0.72</v>
      </c>
      <c r="F7" s="20">
        <v>4.5499999999999999E-2</v>
      </c>
      <c r="G7" s="21">
        <v>15.73</v>
      </c>
      <c r="H7" s="21">
        <v>15.73</v>
      </c>
      <c r="I7" s="21">
        <v>439.14</v>
      </c>
      <c r="J7" s="21">
        <v>-423.41</v>
      </c>
      <c r="K7" s="20">
        <v>-0.96419999999999995</v>
      </c>
      <c r="L7" t="s">
        <v>55</v>
      </c>
    </row>
    <row r="8" spans="1:12" x14ac:dyDescent="0.35">
      <c r="A8" t="s">
        <v>56</v>
      </c>
      <c r="B8" t="s">
        <v>57</v>
      </c>
      <c r="C8">
        <v>3</v>
      </c>
      <c r="D8" s="19">
        <v>311.39999999999998</v>
      </c>
      <c r="E8" s="19">
        <v>-15.6</v>
      </c>
      <c r="F8" s="20">
        <v>-1.6400000000000001E-2</v>
      </c>
      <c r="G8" s="21">
        <v>812.14</v>
      </c>
      <c r="H8" s="19">
        <v>934.2</v>
      </c>
      <c r="I8" s="19">
        <v>774.92</v>
      </c>
      <c r="J8" s="19">
        <v>159.28</v>
      </c>
      <c r="K8" s="20">
        <v>0.20549999999999999</v>
      </c>
      <c r="L8" s="19">
        <v>258.31</v>
      </c>
    </row>
    <row r="9" spans="1:12" x14ac:dyDescent="0.35">
      <c r="A9" t="s">
        <v>58</v>
      </c>
      <c r="B9" t="s">
        <v>59</v>
      </c>
      <c r="C9">
        <v>10</v>
      </c>
      <c r="D9" t="s">
        <v>60</v>
      </c>
      <c r="E9" t="s">
        <v>61</v>
      </c>
      <c r="F9" s="20">
        <v>-5.1999999999999998E-3</v>
      </c>
      <c r="G9" s="21">
        <v>631.05999999999995</v>
      </c>
      <c r="H9" t="s">
        <v>62</v>
      </c>
      <c r="I9" t="s">
        <v>63</v>
      </c>
      <c r="J9" t="s">
        <v>64</v>
      </c>
      <c r="K9" s="20">
        <v>4.6199999999999998E-2</v>
      </c>
      <c r="L9" t="s">
        <v>65</v>
      </c>
    </row>
    <row r="10" spans="1:12" x14ac:dyDescent="0.35">
      <c r="A10" t="s">
        <v>66</v>
      </c>
      <c r="B10" t="s">
        <v>67</v>
      </c>
      <c r="C10">
        <v>33</v>
      </c>
      <c r="D10" t="s">
        <v>68</v>
      </c>
      <c r="E10" s="21">
        <v>3.1</v>
      </c>
      <c r="F10" s="20">
        <v>7.3700000000000002E-2</v>
      </c>
      <c r="G10" s="21">
        <v>45.47</v>
      </c>
      <c r="H10" s="21">
        <v>45.47</v>
      </c>
      <c r="I10" s="21">
        <v>97.2</v>
      </c>
      <c r="J10" s="21">
        <v>-51.73</v>
      </c>
      <c r="K10" s="20">
        <v>-0.53220000000000001</v>
      </c>
      <c r="L10" t="s">
        <v>69</v>
      </c>
    </row>
    <row r="11" spans="1:12" x14ac:dyDescent="0.35">
      <c r="A11" t="s">
        <v>70</v>
      </c>
      <c r="B11" t="s">
        <v>71</v>
      </c>
      <c r="C11">
        <v>1</v>
      </c>
      <c r="D11" t="s">
        <v>72</v>
      </c>
      <c r="E11" t="s">
        <v>73</v>
      </c>
      <c r="F11" s="20">
        <v>0.1346</v>
      </c>
      <c r="G11" s="21">
        <v>392.76</v>
      </c>
      <c r="H11" t="s">
        <v>72</v>
      </c>
      <c r="I11" t="s">
        <v>74</v>
      </c>
      <c r="J11" t="s">
        <v>75</v>
      </c>
      <c r="K11" s="20">
        <v>-9.2799999999999994E-2</v>
      </c>
      <c r="L11" t="s">
        <v>74</v>
      </c>
    </row>
    <row r="12" spans="1:12" x14ac:dyDescent="0.35">
      <c r="A12" t="s">
        <v>76</v>
      </c>
      <c r="B12" t="s">
        <v>77</v>
      </c>
      <c r="C12">
        <v>260</v>
      </c>
      <c r="D12" t="s">
        <v>78</v>
      </c>
      <c r="E12" t="s">
        <v>79</v>
      </c>
      <c r="F12" s="20">
        <v>-6.9900000000000004E-2</v>
      </c>
      <c r="G12" s="21">
        <v>2912.95</v>
      </c>
      <c r="H12" t="s">
        <v>80</v>
      </c>
      <c r="I12" t="s">
        <v>81</v>
      </c>
      <c r="J12" t="s">
        <v>82</v>
      </c>
      <c r="K12" s="20">
        <v>1.9434</v>
      </c>
      <c r="L12" t="s">
        <v>83</v>
      </c>
    </row>
    <row r="13" spans="1:12" x14ac:dyDescent="0.35">
      <c r="A13" t="s">
        <v>84</v>
      </c>
      <c r="B13" t="s">
        <v>85</v>
      </c>
      <c r="C13">
        <v>15</v>
      </c>
      <c r="D13" t="s">
        <v>86</v>
      </c>
      <c r="E13" t="s">
        <v>87</v>
      </c>
      <c r="F13" s="20">
        <v>-8.8999999999999999E-3</v>
      </c>
      <c r="G13" s="21">
        <v>959.94</v>
      </c>
      <c r="H13" t="s">
        <v>88</v>
      </c>
      <c r="I13" t="s">
        <v>89</v>
      </c>
      <c r="J13" t="s">
        <v>90</v>
      </c>
      <c r="K13" s="20">
        <v>6.1499999999999999E-2</v>
      </c>
      <c r="L13" t="s">
        <v>91</v>
      </c>
    </row>
    <row r="14" spans="1:12" x14ac:dyDescent="0.35">
      <c r="A14" t="s">
        <v>92</v>
      </c>
      <c r="B14" t="s">
        <v>93</v>
      </c>
      <c r="C14">
        <v>13</v>
      </c>
      <c r="D14" t="s">
        <v>94</v>
      </c>
      <c r="E14" t="s">
        <v>95</v>
      </c>
      <c r="F14" s="20">
        <v>-3.0099999999999998E-2</v>
      </c>
      <c r="G14" s="21">
        <v>516.91999999999996</v>
      </c>
      <c r="H14" t="s">
        <v>96</v>
      </c>
      <c r="I14" t="s">
        <v>97</v>
      </c>
      <c r="J14" t="s">
        <v>98</v>
      </c>
      <c r="K14" s="20">
        <v>-0.11700000000000001</v>
      </c>
      <c r="L14" t="s">
        <v>99</v>
      </c>
    </row>
    <row r="15" spans="1:12" x14ac:dyDescent="0.35">
      <c r="A15" t="s">
        <v>100</v>
      </c>
      <c r="B15" t="s">
        <v>101</v>
      </c>
      <c r="C15">
        <v>15</v>
      </c>
      <c r="D15" t="s">
        <v>102</v>
      </c>
      <c r="E15" t="s">
        <v>103</v>
      </c>
      <c r="F15" s="20">
        <v>-1.15E-2</v>
      </c>
      <c r="G15" s="21">
        <v>2378.13</v>
      </c>
      <c r="H15" t="s">
        <v>104</v>
      </c>
      <c r="I15" t="s">
        <v>105</v>
      </c>
      <c r="J15" t="s">
        <v>106</v>
      </c>
      <c r="K15" s="20">
        <v>4.1399999999999999E-2</v>
      </c>
      <c r="L15" t="s">
        <v>107</v>
      </c>
    </row>
    <row r="16" spans="1:12" x14ac:dyDescent="0.35">
      <c r="A16" t="s">
        <v>108</v>
      </c>
      <c r="B16" t="s">
        <v>109</v>
      </c>
      <c r="C16">
        <v>1</v>
      </c>
      <c r="D16" s="19">
        <v>1750.5</v>
      </c>
      <c r="E16" s="19">
        <v>-30</v>
      </c>
      <c r="F16" s="20">
        <v>-1.6799999999999999E-2</v>
      </c>
      <c r="G16" s="21">
        <v>1521.79</v>
      </c>
      <c r="H16" s="19">
        <v>1750.5</v>
      </c>
      <c r="I16" s="19">
        <v>1724.85</v>
      </c>
      <c r="J16" s="19">
        <v>25.65</v>
      </c>
      <c r="K16" s="20">
        <v>1.49E-2</v>
      </c>
      <c r="L16" s="19">
        <v>1724.85</v>
      </c>
    </row>
    <row r="17" spans="1:12" x14ac:dyDescent="0.35">
      <c r="A17" t="s">
        <v>110</v>
      </c>
      <c r="B17" t="s">
        <v>111</v>
      </c>
      <c r="C17">
        <v>277</v>
      </c>
      <c r="D17" t="s">
        <v>112</v>
      </c>
      <c r="E17" s="21">
        <v>-77.56</v>
      </c>
      <c r="F17" s="20">
        <v>-2.47E-2</v>
      </c>
      <c r="G17" s="21">
        <v>3053.93</v>
      </c>
      <c r="H17" s="21">
        <v>3053.93</v>
      </c>
      <c r="I17" s="21">
        <v>566.09</v>
      </c>
      <c r="J17" s="21">
        <v>2487.84</v>
      </c>
      <c r="K17" s="20">
        <v>4.3948</v>
      </c>
      <c r="L17" t="s">
        <v>113</v>
      </c>
    </row>
    <row r="18" spans="1:12" x14ac:dyDescent="0.35">
      <c r="A18" t="s">
        <v>114</v>
      </c>
      <c r="B18" t="s">
        <v>115</v>
      </c>
      <c r="C18">
        <v>5694</v>
      </c>
      <c r="D18" t="s">
        <v>116</v>
      </c>
      <c r="E18" s="21">
        <v>-3.99</v>
      </c>
      <c r="F18" s="20">
        <v>-1.67E-2</v>
      </c>
      <c r="G18" s="21">
        <v>242</v>
      </c>
      <c r="H18" s="21">
        <v>242</v>
      </c>
      <c r="I18" s="21">
        <v>499.93</v>
      </c>
      <c r="J18" s="21">
        <v>-257.93</v>
      </c>
      <c r="K18" s="20">
        <v>-0.51590000000000003</v>
      </c>
      <c r="L18" t="s">
        <v>117</v>
      </c>
    </row>
    <row r="19" spans="1:12" x14ac:dyDescent="0.35">
      <c r="A19" t="s">
        <v>118</v>
      </c>
      <c r="B19" t="s">
        <v>119</v>
      </c>
      <c r="C19">
        <v>351</v>
      </c>
      <c r="D19" t="s">
        <v>120</v>
      </c>
      <c r="E19" s="21">
        <v>-0.84</v>
      </c>
      <c r="F19" s="20">
        <v>-1.46E-2</v>
      </c>
      <c r="G19" s="21">
        <v>56.86</v>
      </c>
      <c r="H19" s="21">
        <v>56.86</v>
      </c>
      <c r="I19" s="21">
        <v>149.93</v>
      </c>
      <c r="J19" s="21">
        <v>-93.07</v>
      </c>
      <c r="K19" s="20">
        <v>-0.62080000000000002</v>
      </c>
      <c r="L19" t="s">
        <v>121</v>
      </c>
    </row>
    <row r="20" spans="1:12" x14ac:dyDescent="0.35">
      <c r="A20" t="s">
        <v>122</v>
      </c>
      <c r="B20" t="s">
        <v>123</v>
      </c>
      <c r="C20">
        <v>559</v>
      </c>
      <c r="D20" t="s">
        <v>124</v>
      </c>
      <c r="E20" s="21">
        <v>-22.25</v>
      </c>
      <c r="F20" s="20">
        <v>-1.4500000000000001E-2</v>
      </c>
      <c r="G20" s="21">
        <v>1514.89</v>
      </c>
      <c r="H20" s="21">
        <v>1514.89</v>
      </c>
      <c r="I20" s="21">
        <v>1514.89</v>
      </c>
      <c r="J20" s="21">
        <v>0</v>
      </c>
      <c r="K20" s="20">
        <v>0</v>
      </c>
      <c r="L20" t="s">
        <v>124</v>
      </c>
    </row>
    <row r="21" spans="1:12" x14ac:dyDescent="0.35">
      <c r="A21" t="s">
        <v>125</v>
      </c>
      <c r="B21" t="s">
        <v>126</v>
      </c>
      <c r="C21">
        <v>8</v>
      </c>
      <c r="D21" t="s">
        <v>127</v>
      </c>
      <c r="E21" s="21">
        <v>1.36</v>
      </c>
      <c r="F21" s="20">
        <v>2.63E-2</v>
      </c>
      <c r="G21" s="21">
        <v>53.04</v>
      </c>
      <c r="H21" s="21">
        <v>53.04</v>
      </c>
      <c r="I21" s="21">
        <v>186.76</v>
      </c>
      <c r="J21" s="21">
        <v>-133.72</v>
      </c>
      <c r="K21" s="20">
        <v>-0.71599999999999997</v>
      </c>
      <c r="L21" t="s">
        <v>128</v>
      </c>
    </row>
    <row r="22" spans="1:12" x14ac:dyDescent="0.35">
      <c r="A22" t="s">
        <v>129</v>
      </c>
      <c r="B22" t="s">
        <v>129</v>
      </c>
      <c r="C22">
        <v>10</v>
      </c>
      <c r="D22" t="s">
        <v>130</v>
      </c>
      <c r="E22" s="21">
        <v>0.92</v>
      </c>
      <c r="F22" s="20">
        <v>2.58E-2</v>
      </c>
      <c r="G22" s="21">
        <v>36.69</v>
      </c>
      <c r="H22" s="21">
        <v>36.69</v>
      </c>
      <c r="I22" s="21">
        <v>98.67</v>
      </c>
      <c r="J22" s="21">
        <v>-61.98</v>
      </c>
      <c r="K22" s="20">
        <v>-0.62819999999999998</v>
      </c>
      <c r="L22" t="s">
        <v>131</v>
      </c>
    </row>
    <row r="23" spans="1:12" x14ac:dyDescent="0.35">
      <c r="A23" t="s">
        <v>132</v>
      </c>
      <c r="B23" t="s">
        <v>133</v>
      </c>
      <c r="C23">
        <v>5</v>
      </c>
      <c r="D23" t="s">
        <v>134</v>
      </c>
      <c r="E23" s="21">
        <v>-0.4</v>
      </c>
      <c r="F23" s="20">
        <v>-7.7000000000000002E-3</v>
      </c>
      <c r="G23" s="21">
        <v>51.7</v>
      </c>
      <c r="H23" s="21">
        <v>51.7</v>
      </c>
      <c r="I23" s="21">
        <v>186.49</v>
      </c>
      <c r="J23" s="21">
        <v>-134.79</v>
      </c>
      <c r="K23" s="20">
        <v>-0.7228</v>
      </c>
      <c r="L23" t="s">
        <v>135</v>
      </c>
    </row>
    <row r="24" spans="1:12" x14ac:dyDescent="0.35">
      <c r="D24" t="s">
        <v>136</v>
      </c>
    </row>
    <row r="25" spans="1:12" x14ac:dyDescent="0.35">
      <c r="D25" t="s">
        <v>137</v>
      </c>
      <c r="E25" s="21">
        <v>-100.74</v>
      </c>
      <c r="F25" s="20">
        <v>-1.7600000000000001E-2</v>
      </c>
      <c r="G25" s="21">
        <v>5514.31</v>
      </c>
      <c r="H25" s="21">
        <v>5514.31</v>
      </c>
      <c r="I25" s="21">
        <v>5914.84</v>
      </c>
      <c r="J25" s="21">
        <v>-400.53</v>
      </c>
      <c r="K25" s="20">
        <v>-6.7699999999999996E-2</v>
      </c>
    </row>
    <row r="26" spans="1:12" x14ac:dyDescent="0.35">
      <c r="D26" t="s">
        <v>138</v>
      </c>
      <c r="E26" t="s">
        <v>139</v>
      </c>
      <c r="F26" s="20">
        <v>-2.8799999999999999E-2</v>
      </c>
      <c r="G26" s="21">
        <v>7791.76</v>
      </c>
      <c r="H26" t="s">
        <v>140</v>
      </c>
      <c r="I26" t="s">
        <v>141</v>
      </c>
      <c r="J26" t="s">
        <v>142</v>
      </c>
      <c r="K26" s="20">
        <v>0.34360000000000002</v>
      </c>
    </row>
    <row r="27" spans="1:12" x14ac:dyDescent="0.35">
      <c r="D27" t="s">
        <v>143</v>
      </c>
      <c r="E27" s="19">
        <v>-73.5</v>
      </c>
      <c r="F27" s="20">
        <v>-1.14E-2</v>
      </c>
      <c r="G27" s="21">
        <v>5554.33</v>
      </c>
      <c r="H27" s="19">
        <v>6389.1</v>
      </c>
      <c r="I27" s="19">
        <v>5062.66</v>
      </c>
      <c r="J27" s="19">
        <v>1326.44</v>
      </c>
      <c r="K27" s="20">
        <v>0.26200000000000001</v>
      </c>
    </row>
    <row r="30" spans="1:12" x14ac:dyDescent="0.35">
      <c r="D30" t="s">
        <v>144</v>
      </c>
      <c r="E30" t="s">
        <v>145</v>
      </c>
    </row>
    <row r="31" spans="1:12" x14ac:dyDescent="0.35">
      <c r="D31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F7CD-5359-435E-B858-2B629DC78257}">
  <dimension ref="A1:K4"/>
  <sheetViews>
    <sheetView workbookViewId="0">
      <selection sqref="A1:XFD1048576"/>
    </sheetView>
  </sheetViews>
  <sheetFormatPr defaultRowHeight="14.5" x14ac:dyDescent="0.35"/>
  <cols>
    <col min="1" max="1" width="27.81640625" bestFit="1" customWidth="1"/>
    <col min="2" max="2" width="10.26953125" bestFit="1" customWidth="1"/>
    <col min="3" max="3" width="8" bestFit="1" customWidth="1"/>
    <col min="4" max="4" width="8.90625" bestFit="1" customWidth="1"/>
    <col min="5" max="5" width="5.81640625" bestFit="1" customWidth="1"/>
    <col min="6" max="6" width="8.90625" bestFit="1" customWidth="1"/>
    <col min="7" max="7" width="17" bestFit="1" customWidth="1"/>
    <col min="8" max="9" width="8.54296875" bestFit="1" customWidth="1"/>
    <col min="10" max="10" width="14.6328125" bestFit="1" customWidth="1"/>
    <col min="11" max="11" width="13.08984375" bestFit="1" customWidth="1"/>
  </cols>
  <sheetData>
    <row r="1" spans="1:11" s="8" customFormat="1" x14ac:dyDescent="0.35">
      <c r="A1" s="8" t="s">
        <v>147</v>
      </c>
      <c r="B1" s="8" t="s">
        <v>148</v>
      </c>
      <c r="C1" s="8" t="s">
        <v>149</v>
      </c>
      <c r="D1" s="8" t="s">
        <v>150</v>
      </c>
      <c r="E1" s="8" t="s">
        <v>25</v>
      </c>
      <c r="F1" s="8" t="s">
        <v>151</v>
      </c>
      <c r="G1" s="8" t="s">
        <v>152</v>
      </c>
      <c r="H1" s="8" t="s">
        <v>153</v>
      </c>
      <c r="I1" s="8" t="s">
        <v>154</v>
      </c>
      <c r="J1" s="8" t="s">
        <v>155</v>
      </c>
      <c r="K1" s="8" t="s">
        <v>156</v>
      </c>
    </row>
    <row r="2" spans="1:11" x14ac:dyDescent="0.35">
      <c r="A2" t="s">
        <v>157</v>
      </c>
      <c r="B2" t="s">
        <v>158</v>
      </c>
      <c r="C2" s="7">
        <v>2968</v>
      </c>
      <c r="D2" s="22">
        <v>9983.6</v>
      </c>
      <c r="E2">
        <v>1.125</v>
      </c>
      <c r="F2" s="22">
        <v>3339</v>
      </c>
      <c r="G2" t="s">
        <v>137</v>
      </c>
      <c r="H2" s="22">
        <v>-6644.6</v>
      </c>
      <c r="I2">
        <v>-66.56</v>
      </c>
      <c r="J2" t="s">
        <v>137</v>
      </c>
      <c r="K2">
        <v>1</v>
      </c>
    </row>
    <row r="3" spans="1:11" x14ac:dyDescent="0.35">
      <c r="A3" t="s">
        <v>159</v>
      </c>
      <c r="B3" t="s">
        <v>160</v>
      </c>
      <c r="C3">
        <v>127.53</v>
      </c>
      <c r="D3">
        <v>127.53</v>
      </c>
      <c r="E3">
        <v>1</v>
      </c>
      <c r="F3">
        <v>127.53</v>
      </c>
      <c r="G3" t="s">
        <v>137</v>
      </c>
      <c r="H3">
        <v>0</v>
      </c>
      <c r="I3">
        <v>0</v>
      </c>
      <c r="J3" t="s">
        <v>137</v>
      </c>
      <c r="K3">
        <v>1</v>
      </c>
    </row>
    <row r="4" spans="1:11" x14ac:dyDescent="0.35">
      <c r="A4" t="s">
        <v>161</v>
      </c>
      <c r="B4" t="s">
        <v>162</v>
      </c>
      <c r="C4" s="7">
        <v>293773</v>
      </c>
      <c r="D4" s="22">
        <v>22736.83</v>
      </c>
      <c r="E4">
        <v>7.0000000000000007E-2</v>
      </c>
      <c r="F4" s="22">
        <v>20564.11</v>
      </c>
      <c r="G4" t="s">
        <v>137</v>
      </c>
      <c r="H4" s="22">
        <v>-2172.7199999999998</v>
      </c>
      <c r="I4">
        <v>-9.56</v>
      </c>
      <c r="J4" t="s">
        <v>137</v>
      </c>
      <c r="K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DFB6-8464-45FF-84EA-FF065DF3D70F}">
  <dimension ref="A1:K7"/>
  <sheetViews>
    <sheetView workbookViewId="0">
      <selection sqref="A1:XFD1048576"/>
    </sheetView>
  </sheetViews>
  <sheetFormatPr defaultRowHeight="14.5" x14ac:dyDescent="0.35"/>
  <cols>
    <col min="1" max="1" width="41.36328125" bestFit="1" customWidth="1"/>
    <col min="2" max="2" width="10.26953125" bestFit="1" customWidth="1"/>
    <col min="3" max="3" width="8" bestFit="1" customWidth="1"/>
    <col min="4" max="4" width="8.81640625" bestFit="1" customWidth="1"/>
    <col min="5" max="5" width="6.81640625" bestFit="1" customWidth="1"/>
    <col min="6" max="6" width="9.90625" bestFit="1" customWidth="1"/>
    <col min="7" max="7" width="17" bestFit="1" customWidth="1"/>
    <col min="8" max="8" width="9.90625" bestFit="1" customWidth="1"/>
    <col min="9" max="9" width="8.54296875" bestFit="1" customWidth="1"/>
    <col min="10" max="10" width="14.6328125" bestFit="1" customWidth="1"/>
    <col min="11" max="11" width="13.08984375" bestFit="1" customWidth="1"/>
  </cols>
  <sheetData>
    <row r="1" spans="1:11" s="8" customFormat="1" x14ac:dyDescent="0.35">
      <c r="A1" s="8" t="s">
        <v>147</v>
      </c>
      <c r="B1" s="8" t="s">
        <v>148</v>
      </c>
      <c r="C1" s="8" t="s">
        <v>149</v>
      </c>
      <c r="D1" s="8" t="s">
        <v>150</v>
      </c>
      <c r="E1" s="8" t="s">
        <v>25</v>
      </c>
      <c r="F1" s="8" t="s">
        <v>151</v>
      </c>
      <c r="G1" s="8" t="s">
        <v>152</v>
      </c>
      <c r="H1" s="8" t="s">
        <v>153</v>
      </c>
      <c r="I1" s="8" t="s">
        <v>154</v>
      </c>
      <c r="J1" s="8" t="s">
        <v>155</v>
      </c>
      <c r="K1" s="8" t="s">
        <v>156</v>
      </c>
    </row>
    <row r="2" spans="1:11" x14ac:dyDescent="0.35">
      <c r="A2" t="s">
        <v>163</v>
      </c>
      <c r="B2" t="s">
        <v>164</v>
      </c>
      <c r="C2" s="7">
        <v>1719</v>
      </c>
      <c r="D2" s="22">
        <v>3673.51</v>
      </c>
      <c r="E2">
        <v>0.11</v>
      </c>
      <c r="F2">
        <v>189.09</v>
      </c>
      <c r="G2" t="s">
        <v>137</v>
      </c>
      <c r="H2" s="22">
        <v>-3484.42</v>
      </c>
      <c r="I2">
        <v>-94.85</v>
      </c>
      <c r="J2" t="s">
        <v>137</v>
      </c>
      <c r="K2">
        <v>1</v>
      </c>
    </row>
    <row r="3" spans="1:11" x14ac:dyDescent="0.35">
      <c r="A3" t="s">
        <v>157</v>
      </c>
      <c r="B3" t="s">
        <v>158</v>
      </c>
      <c r="C3" s="7">
        <v>1718</v>
      </c>
      <c r="D3" s="22">
        <v>5784.97</v>
      </c>
      <c r="E3">
        <v>1.125</v>
      </c>
      <c r="F3" s="22">
        <v>1932.75</v>
      </c>
      <c r="G3" t="s">
        <v>137</v>
      </c>
      <c r="H3" s="22">
        <v>-3852.22</v>
      </c>
      <c r="I3">
        <v>-66.59</v>
      </c>
      <c r="J3" t="s">
        <v>137</v>
      </c>
      <c r="K3">
        <v>1</v>
      </c>
    </row>
    <row r="4" spans="1:11" x14ac:dyDescent="0.35">
      <c r="A4" t="s">
        <v>159</v>
      </c>
      <c r="B4" t="s">
        <v>160</v>
      </c>
      <c r="C4" s="22">
        <v>4585.1499999999996</v>
      </c>
      <c r="D4" s="22">
        <v>4585.1499999999996</v>
      </c>
      <c r="E4">
        <v>1</v>
      </c>
      <c r="F4" s="22">
        <v>4585.1499999999996</v>
      </c>
      <c r="G4" t="s">
        <v>137</v>
      </c>
      <c r="H4">
        <v>0</v>
      </c>
      <c r="I4">
        <v>0</v>
      </c>
      <c r="J4" t="s">
        <v>137</v>
      </c>
      <c r="K4">
        <v>1</v>
      </c>
    </row>
    <row r="5" spans="1:11" x14ac:dyDescent="0.35">
      <c r="A5" t="s">
        <v>165</v>
      </c>
      <c r="B5" t="s">
        <v>166</v>
      </c>
      <c r="C5" s="7">
        <v>500000</v>
      </c>
      <c r="D5" s="22">
        <v>5260</v>
      </c>
      <c r="E5">
        <v>1.2999999999999999E-2</v>
      </c>
      <c r="F5" s="22">
        <v>6500</v>
      </c>
      <c r="G5" t="s">
        <v>137</v>
      </c>
      <c r="H5" s="22">
        <v>1240</v>
      </c>
      <c r="I5">
        <v>23.57</v>
      </c>
      <c r="J5" t="s">
        <v>137</v>
      </c>
      <c r="K5">
        <v>1</v>
      </c>
    </row>
    <row r="6" spans="1:11" x14ac:dyDescent="0.35">
      <c r="A6" t="s">
        <v>167</v>
      </c>
      <c r="B6">
        <v>4846288</v>
      </c>
      <c r="C6" s="7">
        <v>1737</v>
      </c>
      <c r="D6">
        <v>0</v>
      </c>
      <c r="E6">
        <v>241.25</v>
      </c>
      <c r="F6" s="22">
        <v>363696.68</v>
      </c>
      <c r="G6" t="s">
        <v>137</v>
      </c>
      <c r="H6" s="22">
        <v>363696.68</v>
      </c>
      <c r="I6">
        <v>0</v>
      </c>
      <c r="J6" t="s">
        <v>143</v>
      </c>
      <c r="K6">
        <v>0.86790500000000004</v>
      </c>
    </row>
    <row r="7" spans="1:11" x14ac:dyDescent="0.35">
      <c r="A7" t="s">
        <v>161</v>
      </c>
      <c r="B7" t="s">
        <v>162</v>
      </c>
      <c r="C7" s="7">
        <v>263211</v>
      </c>
      <c r="D7" s="22">
        <v>3565.22</v>
      </c>
      <c r="E7">
        <v>7.0000000000000007E-2</v>
      </c>
      <c r="F7" s="22">
        <v>18424.77</v>
      </c>
      <c r="G7" t="s">
        <v>137</v>
      </c>
      <c r="H7" s="22">
        <v>14859.55</v>
      </c>
      <c r="I7">
        <v>416.79</v>
      </c>
      <c r="J7" t="s">
        <v>137</v>
      </c>
      <c r="K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07EC-0B06-4D99-AADA-77FCCD439DA1}">
  <dimension ref="C2:F6"/>
  <sheetViews>
    <sheetView workbookViewId="0">
      <selection activeCell="F6" sqref="F6"/>
    </sheetView>
  </sheetViews>
  <sheetFormatPr defaultRowHeight="14.5" x14ac:dyDescent="0.35"/>
  <cols>
    <col min="3" max="3" width="23.1796875" bestFit="1" customWidth="1"/>
    <col min="4" max="4" width="9.90625" bestFit="1" customWidth="1"/>
  </cols>
  <sheetData>
    <row r="2" spans="3:6" x14ac:dyDescent="0.35">
      <c r="D2" t="s">
        <v>182</v>
      </c>
    </row>
    <row r="3" spans="3:6" ht="15" thickBot="1" x14ac:dyDescent="0.4">
      <c r="C3" s="23" t="s">
        <v>183</v>
      </c>
      <c r="D3" s="22">
        <v>52784</v>
      </c>
    </row>
    <row r="4" spans="3:6" ht="15" thickBot="1" x14ac:dyDescent="0.4">
      <c r="C4" s="23" t="s">
        <v>184</v>
      </c>
      <c r="D4" s="22">
        <v>693504</v>
      </c>
    </row>
    <row r="5" spans="3:6" x14ac:dyDescent="0.35">
      <c r="C5" t="s">
        <v>181</v>
      </c>
      <c r="D5" s="22">
        <v>197818</v>
      </c>
      <c r="F5" t="s">
        <v>185</v>
      </c>
    </row>
    <row r="6" spans="3:6" x14ac:dyDescent="0.35">
      <c r="D6" s="22">
        <f>SUM(D3:D5)</f>
        <v>944106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1EA0-FF56-4931-B762-E491D00A9F95}">
  <dimension ref="A1:B63"/>
  <sheetViews>
    <sheetView tabSelected="1" topLeftCell="C1" workbookViewId="0">
      <selection activeCell="D63" sqref="D63"/>
    </sheetView>
  </sheetViews>
  <sheetFormatPr defaultRowHeight="14.5" x14ac:dyDescent="0.35"/>
  <sheetData>
    <row r="1" spans="1:1" x14ac:dyDescent="0.35">
      <c r="A1" t="s">
        <v>179</v>
      </c>
    </row>
    <row r="63" spans="2:2" x14ac:dyDescent="0.35">
      <c r="B63" t="s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Investments</vt:lpstr>
      <vt:lpstr>ISA True Potential</vt:lpstr>
      <vt:lpstr>Fundsmith</vt:lpstr>
      <vt:lpstr>II</vt:lpstr>
      <vt:lpstr>CWC ISA</vt:lpstr>
      <vt:lpstr>CWC GIA</vt:lpstr>
      <vt:lpstr>Pension Summary</vt:lpstr>
      <vt:lpstr>Pension on True 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Green</dc:creator>
  <cp:lastModifiedBy>Martin Green</cp:lastModifiedBy>
  <dcterms:created xsi:type="dcterms:W3CDTF">2025-10-22T18:01:52Z</dcterms:created>
  <dcterms:modified xsi:type="dcterms:W3CDTF">2025-10-22T19:37:31Z</dcterms:modified>
</cp:coreProperties>
</file>