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22945482ed0d909/Documents/Personnal_Folders/Personnal_Folders/Personal Finance/Other/"/>
    </mc:Choice>
  </mc:AlternateContent>
  <xr:revisionPtr revIDLastSave="216" documentId="13_ncr:1_{D1B2FE61-0708-43D7-86A1-7A68F627AB5C}" xr6:coauthVersionLast="47" xr6:coauthVersionMax="47" xr10:uidLastSave="{5A6299A7-CE09-4D31-9935-0E62575021B9}"/>
  <bookViews>
    <workbookView xWindow="-110" yWindow="-110" windowWidth="19420" windowHeight="11500" activeTab="1" xr2:uid="{00000000-000D-0000-FFFF-FFFF00000000}"/>
  </bookViews>
  <sheets>
    <sheet name="Pen Limits" sheetId="10" r:id="rId1"/>
    <sheet name="2026" sheetId="12" r:id="rId2"/>
    <sheet name="2025" sheetId="11" r:id="rId3"/>
    <sheet name="2024" sheetId="9" r:id="rId4"/>
    <sheet name="2023" sheetId="8" r:id="rId5"/>
    <sheet name="2022" sheetId="6" r:id="rId6"/>
    <sheet name="Remploy Pension Options" sheetId="7" r:id="rId7"/>
    <sheet name="2021" sheetId="5" r:id="rId8"/>
    <sheet name="2020" sheetId="4" r:id="rId9"/>
    <sheet name="2019" sheetId="3" r:id="rId10"/>
    <sheet name="2018" sheetId="2" r:id="rId11"/>
    <sheet name="2017" sheetId="1" r:id="rId12"/>
  </sheets>
  <externalReferences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5" i="12" l="1"/>
  <c r="D5" i="12" l="1"/>
  <c r="D6" i="12" s="1"/>
  <c r="Q21" i="12" a="1"/>
  <c r="Q21" i="12" s="1"/>
  <c r="O16" i="12"/>
  <c r="N16" i="12"/>
  <c r="M16" i="12"/>
  <c r="L16" i="12"/>
  <c r="K16" i="12"/>
  <c r="J16" i="12"/>
  <c r="K17" i="12" s="1"/>
  <c r="I16" i="12"/>
  <c r="H16" i="12"/>
  <c r="I17" i="12" s="1"/>
  <c r="G16" i="12"/>
  <c r="F16" i="12"/>
  <c r="E16" i="12"/>
  <c r="F17" i="12" s="1"/>
  <c r="D16" i="12"/>
  <c r="E17" i="12" s="1"/>
  <c r="C16" i="12"/>
  <c r="S11" i="12"/>
  <c r="Q7" i="12"/>
  <c r="F6" i="12"/>
  <c r="E6" i="12"/>
  <c r="B6" i="12"/>
  <c r="O6" i="12"/>
  <c r="N6" i="12"/>
  <c r="M6" i="12"/>
  <c r="H6" i="12"/>
  <c r="S4" i="12"/>
  <c r="T4" i="12" s="1"/>
  <c r="R4" i="12"/>
  <c r="R3" i="12"/>
  <c r="T3" i="12" s="1"/>
  <c r="T4" i="11"/>
  <c r="S5" i="11"/>
  <c r="T5" i="11" s="1"/>
  <c r="T18" i="11"/>
  <c r="R5" i="11"/>
  <c r="R4" i="11"/>
  <c r="O21" i="11"/>
  <c r="O20" i="11"/>
  <c r="O18" i="11"/>
  <c r="O10" i="11"/>
  <c r="O8" i="11"/>
  <c r="O6" i="11"/>
  <c r="N6" i="11"/>
  <c r="D17" i="12" l="1"/>
  <c r="F7" i="12"/>
  <c r="P16" i="12"/>
  <c r="C17" i="12"/>
  <c r="G17" i="12"/>
  <c r="L17" i="12"/>
  <c r="N17" i="12"/>
  <c r="H17" i="12"/>
  <c r="E7" i="12"/>
  <c r="D7" i="12"/>
  <c r="N7" i="12"/>
  <c r="O9" i="12"/>
  <c r="O7" i="12"/>
  <c r="I6" i="12"/>
  <c r="I7" i="12" s="1"/>
  <c r="J6" i="12"/>
  <c r="J7" i="12" s="1"/>
  <c r="O17" i="12"/>
  <c r="K6" i="12"/>
  <c r="L6" i="12"/>
  <c r="Q23" i="12"/>
  <c r="G6" i="12"/>
  <c r="G7" i="12" s="1"/>
  <c r="J17" i="12"/>
  <c r="M17" i="12"/>
  <c r="M6" i="11"/>
  <c r="L18" i="11"/>
  <c r="L6" i="11"/>
  <c r="K6" i="11"/>
  <c r="L7" i="12" l="1"/>
  <c r="K7" i="12"/>
  <c r="O18" i="12"/>
  <c r="O19" i="12" s="1"/>
  <c r="T16" i="12" s="1"/>
  <c r="M7" i="12"/>
  <c r="H7" i="12"/>
  <c r="J6" i="11"/>
  <c r="I11" i="11"/>
  <c r="F11" i="11"/>
  <c r="O8" i="12" l="1"/>
  <c r="I6" i="11"/>
  <c r="H6" i="11"/>
  <c r="H7" i="11" l="1"/>
  <c r="G6" i="11"/>
  <c r="G5" i="11"/>
  <c r="C7" i="11"/>
  <c r="Q23" i="11" a="1"/>
  <c r="Q23" i="11" s="1"/>
  <c r="Q25" i="11" s="1"/>
  <c r="H19" i="11"/>
  <c r="D19" i="11"/>
  <c r="C19" i="11"/>
  <c r="N18" i="11"/>
  <c r="M18" i="11"/>
  <c r="M19" i="11" s="1"/>
  <c r="K18" i="11"/>
  <c r="L19" i="11" s="1"/>
  <c r="J18" i="11"/>
  <c r="I18" i="11"/>
  <c r="I19" i="11" s="1"/>
  <c r="H18" i="11"/>
  <c r="G18" i="11"/>
  <c r="F18" i="11"/>
  <c r="E18" i="11"/>
  <c r="E19" i="11" s="1"/>
  <c r="D18" i="11"/>
  <c r="C18" i="11"/>
  <c r="S12" i="11"/>
  <c r="Q8" i="11"/>
  <c r="O7" i="11"/>
  <c r="N7" i="11"/>
  <c r="L7" i="11"/>
  <c r="K7" i="11"/>
  <c r="J7" i="11"/>
  <c r="I7" i="11"/>
  <c r="G7" i="11"/>
  <c r="F7" i="11"/>
  <c r="E7" i="11"/>
  <c r="D7" i="11"/>
  <c r="D8" i="11" s="1"/>
  <c r="B7" i="11"/>
  <c r="M7" i="11"/>
  <c r="M5" i="9"/>
  <c r="D16" i="10"/>
  <c r="D15" i="10"/>
  <c r="I7" i="10"/>
  <c r="F7" i="10"/>
  <c r="E7" i="10"/>
  <c r="D7" i="10"/>
  <c r="G6" i="10"/>
  <c r="G7" i="10" s="1"/>
  <c r="Q23" i="9" a="1"/>
  <c r="Q23" i="9" s="1"/>
  <c r="Q25" i="9" s="1"/>
  <c r="G18" i="9" s="1"/>
  <c r="C19" i="9"/>
  <c r="O18" i="9"/>
  <c r="P18" i="9" s="1"/>
  <c r="N18" i="9"/>
  <c r="M18" i="9"/>
  <c r="K18" i="9"/>
  <c r="J18" i="9"/>
  <c r="I18" i="9"/>
  <c r="H18" i="9"/>
  <c r="F18" i="9"/>
  <c r="E18" i="9"/>
  <c r="D18" i="9"/>
  <c r="D19" i="9" s="1"/>
  <c r="C18" i="9"/>
  <c r="S12" i="9"/>
  <c r="Q8" i="9"/>
  <c r="O7" i="9"/>
  <c r="N7" i="9"/>
  <c r="M7" i="9"/>
  <c r="L7" i="9"/>
  <c r="K7" i="9"/>
  <c r="J7" i="9"/>
  <c r="I7" i="9"/>
  <c r="H7" i="9"/>
  <c r="G7" i="9"/>
  <c r="F7" i="9"/>
  <c r="E7" i="9"/>
  <c r="D7" i="9"/>
  <c r="D8" i="9" s="1"/>
  <c r="C7" i="9"/>
  <c r="B7" i="9"/>
  <c r="R6" i="9"/>
  <c r="R5" i="9"/>
  <c r="Q5" i="9"/>
  <c r="P5" i="9"/>
  <c r="R4" i="9"/>
  <c r="P4" i="9"/>
  <c r="R3" i="9"/>
  <c r="P3" i="9"/>
  <c r="Q23" i="8" a="1"/>
  <c r="Q23" i="8" s="1"/>
  <c r="Q25" i="8" s="1"/>
  <c r="G14" i="8" s="1"/>
  <c r="K19" i="11" l="1"/>
  <c r="K8" i="11"/>
  <c r="J19" i="11"/>
  <c r="H8" i="11"/>
  <c r="G19" i="11"/>
  <c r="G8" i="11"/>
  <c r="F8" i="11"/>
  <c r="F19" i="11"/>
  <c r="E8" i="11"/>
  <c r="N19" i="11"/>
  <c r="L8" i="11"/>
  <c r="M8" i="11"/>
  <c r="I8" i="11"/>
  <c r="J8" i="11"/>
  <c r="P18" i="11"/>
  <c r="N8" i="11"/>
  <c r="O19" i="11"/>
  <c r="N8" i="9"/>
  <c r="J19" i="9"/>
  <c r="I8" i="9"/>
  <c r="G8" i="9"/>
  <c r="H8" i="9"/>
  <c r="F8" i="9"/>
  <c r="I9" i="10"/>
  <c r="H7" i="10"/>
  <c r="M19" i="9"/>
  <c r="I19" i="9"/>
  <c r="K19" i="9"/>
  <c r="E19" i="9"/>
  <c r="N19" i="9"/>
  <c r="F19" i="9"/>
  <c r="O19" i="9"/>
  <c r="L19" i="9"/>
  <c r="K8" i="9"/>
  <c r="L8" i="9"/>
  <c r="M8" i="9"/>
  <c r="J8" i="9"/>
  <c r="E8" i="9"/>
  <c r="O8" i="9"/>
  <c r="H19" i="9"/>
  <c r="G19" i="9"/>
  <c r="O10" i="9"/>
  <c r="Q8" i="8"/>
  <c r="C19" i="8"/>
  <c r="C18" i="8"/>
  <c r="C7" i="8"/>
  <c r="O18" i="8"/>
  <c r="P18" i="8" s="1"/>
  <c r="N18" i="8"/>
  <c r="M18" i="8"/>
  <c r="L18" i="8"/>
  <c r="L19" i="8" s="1"/>
  <c r="K18" i="8"/>
  <c r="J18" i="8"/>
  <c r="G18" i="8"/>
  <c r="F18" i="8"/>
  <c r="E18" i="8"/>
  <c r="D18" i="8"/>
  <c r="D19" i="8" s="1"/>
  <c r="I18" i="8"/>
  <c r="H18" i="8"/>
  <c r="S12" i="8"/>
  <c r="O7" i="8"/>
  <c r="N7" i="8"/>
  <c r="M7" i="8"/>
  <c r="L7" i="8"/>
  <c r="K7" i="8"/>
  <c r="J7" i="8"/>
  <c r="I7" i="8"/>
  <c r="H7" i="8"/>
  <c r="G7" i="8"/>
  <c r="F7" i="8"/>
  <c r="E7" i="8"/>
  <c r="D7" i="8"/>
  <c r="B7" i="8"/>
  <c r="R6" i="8"/>
  <c r="R5" i="8"/>
  <c r="Q5" i="8"/>
  <c r="P5" i="8"/>
  <c r="R4" i="8"/>
  <c r="P4" i="8"/>
  <c r="R3" i="8"/>
  <c r="P3" i="8"/>
  <c r="Q5" i="6"/>
  <c r="P18" i="6"/>
  <c r="P4" i="6"/>
  <c r="P5" i="6"/>
  <c r="P3" i="6"/>
  <c r="O9" i="11" l="1"/>
  <c r="O9" i="9"/>
  <c r="N8" i="8"/>
  <c r="M19" i="8"/>
  <c r="K8" i="8"/>
  <c r="J8" i="8"/>
  <c r="I8" i="8"/>
  <c r="G19" i="8"/>
  <c r="H8" i="8"/>
  <c r="G8" i="8"/>
  <c r="O8" i="8"/>
  <c r="O19" i="8"/>
  <c r="N19" i="8"/>
  <c r="E19" i="8"/>
  <c r="K19" i="8"/>
  <c r="F19" i="8"/>
  <c r="H19" i="8"/>
  <c r="L8" i="8"/>
  <c r="O10" i="8"/>
  <c r="E8" i="8"/>
  <c r="M8" i="8"/>
  <c r="F8" i="8"/>
  <c r="I19" i="8"/>
  <c r="J19" i="8"/>
  <c r="D8" i="8"/>
  <c r="L14" i="6"/>
  <c r="S12" i="6"/>
  <c r="I14" i="6"/>
  <c r="H14" i="6"/>
  <c r="D14" i="6"/>
  <c r="O9" i="8" l="1"/>
  <c r="R4" i="6"/>
  <c r="R5" i="6"/>
  <c r="R6" i="6"/>
  <c r="R3" i="6"/>
  <c r="D18" i="6"/>
  <c r="D19" i="6" s="1"/>
  <c r="E18" i="6"/>
  <c r="E19" i="6" s="1"/>
  <c r="F18" i="6"/>
  <c r="F19" i="6" s="1"/>
  <c r="G18" i="6"/>
  <c r="G19" i="6" s="1"/>
  <c r="H18" i="6"/>
  <c r="I18" i="6"/>
  <c r="J18" i="6"/>
  <c r="K18" i="6"/>
  <c r="K19" i="6" s="1"/>
  <c r="L18" i="6"/>
  <c r="L19" i="6" s="1"/>
  <c r="M18" i="6"/>
  <c r="M19" i="6" s="1"/>
  <c r="N18" i="6"/>
  <c r="N19" i="6" s="1"/>
  <c r="O18" i="6"/>
  <c r="O19" i="6" s="1"/>
  <c r="C18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Y18" i="5"/>
  <c r="Y19" i="5"/>
  <c r="X18" i="5"/>
  <c r="AB10" i="5"/>
  <c r="Y5" i="5"/>
  <c r="X5" i="5"/>
  <c r="AB9" i="5"/>
  <c r="T5" i="5"/>
  <c r="U4" i="5"/>
  <c r="U3" i="5"/>
  <c r="S18" i="5"/>
  <c r="U20" i="5"/>
  <c r="P18" i="5"/>
  <c r="O18" i="5"/>
  <c r="H13" i="5"/>
  <c r="H12" i="5"/>
  <c r="L8" i="5"/>
  <c r="K8" i="5"/>
  <c r="H19" i="6" l="1"/>
  <c r="J19" i="6"/>
  <c r="I19" i="6"/>
  <c r="N8" i="6"/>
  <c r="G8" i="6"/>
  <c r="K8" i="6"/>
  <c r="O8" i="6"/>
  <c r="H8" i="6"/>
  <c r="L8" i="6"/>
  <c r="E8" i="6"/>
  <c r="I8" i="6"/>
  <c r="M8" i="6"/>
  <c r="O10" i="6"/>
  <c r="F8" i="6"/>
  <c r="J8" i="6"/>
  <c r="D8" i="6"/>
  <c r="J23" i="5"/>
  <c r="J8" i="5"/>
  <c r="I8" i="5"/>
  <c r="H8" i="5"/>
  <c r="J7" i="5"/>
  <c r="O9" i="6" l="1"/>
  <c r="I23" i="5"/>
  <c r="I7" i="5"/>
  <c r="G23" i="5" l="1"/>
  <c r="G7" i="5"/>
  <c r="S23" i="5"/>
  <c r="R23" i="5"/>
  <c r="Q23" i="5"/>
  <c r="P23" i="5"/>
  <c r="O23" i="5"/>
  <c r="N23" i="5"/>
  <c r="M23" i="5"/>
  <c r="L23" i="5"/>
  <c r="K23" i="5"/>
  <c r="H23" i="5"/>
  <c r="K14" i="5"/>
  <c r="X13" i="5"/>
  <c r="X12" i="5"/>
  <c r="X14" i="5" s="1"/>
  <c r="W12" i="5"/>
  <c r="W13" i="5" s="1"/>
  <c r="S7" i="5"/>
  <c r="R7" i="5"/>
  <c r="Q7" i="5"/>
  <c r="W8" i="5" s="1"/>
  <c r="P7" i="5"/>
  <c r="O7" i="5"/>
  <c r="N7" i="5"/>
  <c r="M7" i="5"/>
  <c r="L7" i="5"/>
  <c r="K7" i="5"/>
  <c r="H7" i="5"/>
  <c r="S10" i="5" s="1"/>
  <c r="F7" i="5"/>
  <c r="X6" i="5"/>
  <c r="W6" i="5"/>
  <c r="V6" i="5"/>
  <c r="U6" i="5"/>
  <c r="T6" i="5"/>
  <c r="W5" i="5"/>
  <c r="V5" i="5"/>
  <c r="U5" i="5"/>
  <c r="E5" i="5"/>
  <c r="Z4" i="5"/>
  <c r="X4" i="5"/>
  <c r="W4" i="5"/>
  <c r="V4" i="5"/>
  <c r="T4" i="5"/>
  <c r="X3" i="5"/>
  <c r="W3" i="5"/>
  <c r="V3" i="5"/>
  <c r="T3" i="5"/>
  <c r="P8" i="5" l="1"/>
  <c r="T8" i="5"/>
  <c r="V7" i="5"/>
  <c r="M8" i="5"/>
  <c r="N8" i="5"/>
  <c r="R8" i="5"/>
  <c r="O8" i="5"/>
  <c r="S8" i="5"/>
  <c r="V8" i="5" s="1"/>
  <c r="W7" i="5"/>
  <c r="X15" i="5"/>
  <c r="Q8" i="5"/>
  <c r="X7" i="5"/>
  <c r="X8" i="5"/>
  <c r="W14" i="5"/>
  <c r="W15" i="5" s="1"/>
  <c r="S3" i="4"/>
  <c r="S4" i="4"/>
  <c r="S5" i="4"/>
  <c r="S6" i="4"/>
  <c r="R5" i="4"/>
  <c r="R3" i="4"/>
  <c r="R4" i="4"/>
  <c r="S9" i="5" l="1"/>
  <c r="P7" i="4"/>
  <c r="P8" i="4" s="1"/>
  <c r="P23" i="4"/>
  <c r="N23" i="4" l="1"/>
  <c r="N7" i="4"/>
  <c r="M7" i="4" l="1"/>
  <c r="M23" i="4"/>
  <c r="N8" i="4" l="1"/>
  <c r="L23" i="4"/>
  <c r="L7" i="4"/>
  <c r="M8" i="4" s="1"/>
  <c r="J23" i="4" l="1"/>
  <c r="J7" i="4"/>
  <c r="U3" i="4" l="1"/>
  <c r="U4" i="4"/>
  <c r="U5" i="4"/>
  <c r="U6" i="4"/>
  <c r="Q23" i="4" l="1"/>
  <c r="O23" i="4"/>
  <c r="K23" i="4"/>
  <c r="I23" i="4"/>
  <c r="H23" i="4"/>
  <c r="U14" i="4"/>
  <c r="I14" i="4"/>
  <c r="V12" i="4"/>
  <c r="V13" i="4" s="1"/>
  <c r="U12" i="4"/>
  <c r="U13" i="4" s="1"/>
  <c r="Q7" i="4"/>
  <c r="Q8" i="4" s="1"/>
  <c r="O7" i="4"/>
  <c r="K7" i="4"/>
  <c r="I7" i="4"/>
  <c r="H7" i="4"/>
  <c r="J8" i="4" s="1"/>
  <c r="F7" i="4"/>
  <c r="V6" i="4"/>
  <c r="T6" i="4"/>
  <c r="R6" i="4"/>
  <c r="V5" i="4"/>
  <c r="T5" i="4"/>
  <c r="E5" i="4"/>
  <c r="X4" i="4"/>
  <c r="V4" i="4"/>
  <c r="T4" i="4"/>
  <c r="V3" i="4"/>
  <c r="T3" i="4"/>
  <c r="U8" i="4" l="1"/>
  <c r="O8" i="4"/>
  <c r="K8" i="4"/>
  <c r="L8" i="4"/>
  <c r="U15" i="4"/>
  <c r="U7" i="4"/>
  <c r="V7" i="4"/>
  <c r="R8" i="4"/>
  <c r="Q10" i="4"/>
  <c r="I8" i="4"/>
  <c r="V8" i="4"/>
  <c r="T7" i="4"/>
  <c r="V14" i="4"/>
  <c r="V15" i="4" s="1"/>
  <c r="K23" i="3"/>
  <c r="L23" i="3"/>
  <c r="O3" i="3"/>
  <c r="O4" i="3"/>
  <c r="O5" i="3"/>
  <c r="Q9" i="4" l="1"/>
  <c r="Q3" i="3"/>
  <c r="Q4" i="3"/>
  <c r="Q5" i="3"/>
  <c r="Q6" i="3"/>
  <c r="O6" i="3" l="1"/>
  <c r="N4" i="3"/>
  <c r="N5" i="3"/>
  <c r="N6" i="3"/>
  <c r="N3" i="3"/>
  <c r="M3" i="3"/>
  <c r="M4" i="3"/>
  <c r="M5" i="3"/>
  <c r="M6" i="3"/>
  <c r="I23" i="3" l="1"/>
  <c r="J23" i="3"/>
  <c r="H23" i="3" l="1"/>
  <c r="H7" i="3"/>
  <c r="Q12" i="3"/>
  <c r="Q14" i="3" s="1"/>
  <c r="Q13" i="3"/>
  <c r="P12" i="3"/>
  <c r="P13" i="3"/>
  <c r="P14" i="3"/>
  <c r="P15" i="3"/>
  <c r="I14" i="3"/>
  <c r="L7" i="3"/>
  <c r="I7" i="3"/>
  <c r="J7" i="3"/>
  <c r="K7" i="3"/>
  <c r="M8" i="3"/>
  <c r="F7" i="3"/>
  <c r="E5" i="3"/>
  <c r="S4" i="3"/>
  <c r="L7" i="2"/>
  <c r="Q8" i="2" s="1"/>
  <c r="S4" i="2"/>
  <c r="M5" i="2"/>
  <c r="M8" i="2" s="1"/>
  <c r="I5" i="2"/>
  <c r="I7" i="2" s="1"/>
  <c r="J7" i="2"/>
  <c r="K7" i="2"/>
  <c r="L8" i="2"/>
  <c r="M6" i="2"/>
  <c r="M3" i="2"/>
  <c r="L22" i="2"/>
  <c r="K22" i="2"/>
  <c r="M4" i="2"/>
  <c r="J22" i="2"/>
  <c r="I22" i="2"/>
  <c r="I14" i="2"/>
  <c r="Q12" i="2"/>
  <c r="Q13" i="2" s="1"/>
  <c r="Q14" i="2"/>
  <c r="P12" i="2"/>
  <c r="P13" i="2" s="1"/>
  <c r="F7" i="2"/>
  <c r="E5" i="2"/>
  <c r="T6" i="1"/>
  <c r="T5" i="1"/>
  <c r="T4" i="1"/>
  <c r="T3" i="1"/>
  <c r="O7" i="1"/>
  <c r="P14" i="2"/>
  <c r="N7" i="1"/>
  <c r="N8" i="1" s="1"/>
  <c r="M7" i="1"/>
  <c r="L14" i="1"/>
  <c r="T12" i="1"/>
  <c r="T13" i="1" s="1"/>
  <c r="T14" i="1"/>
  <c r="S12" i="1"/>
  <c r="S14" i="1"/>
  <c r="S13" i="1"/>
  <c r="S15" i="1"/>
  <c r="P6" i="1"/>
  <c r="P5" i="1"/>
  <c r="P4" i="1"/>
  <c r="P3" i="1"/>
  <c r="I7" i="1"/>
  <c r="L7" i="1"/>
  <c r="L8" i="1" s="1"/>
  <c r="H5" i="1"/>
  <c r="E7" i="1"/>
  <c r="P15" i="2" l="1"/>
  <c r="Q7" i="3"/>
  <c r="O8" i="1"/>
  <c r="P8" i="1" s="1"/>
  <c r="T7" i="1"/>
  <c r="K8" i="2"/>
  <c r="Q8" i="3"/>
  <c r="O7" i="3"/>
  <c r="T15" i="1"/>
  <c r="Q15" i="3"/>
  <c r="M8" i="1"/>
  <c r="Q15" i="2"/>
  <c r="L8" i="3"/>
  <c r="K8" i="3"/>
  <c r="I8" i="2"/>
  <c r="J8" i="2"/>
  <c r="L10" i="2"/>
  <c r="L10" i="3"/>
  <c r="I8" i="3"/>
  <c r="J8" i="3"/>
  <c r="L9" i="3" l="1"/>
  <c r="L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<sst xmlns="http://schemas.openxmlformats.org/spreadsheetml/2006/main" count="305" uniqueCount="83">
  <si>
    <t>IBM Pension</t>
  </si>
  <si>
    <t>Ciber</t>
  </si>
  <si>
    <t>SAP</t>
  </si>
  <si>
    <t>Remploy</t>
  </si>
  <si>
    <t xml:space="preserve">Total </t>
  </si>
  <si>
    <t>31st Dec 2016</t>
  </si>
  <si>
    <t>Check the increases</t>
  </si>
  <si>
    <t>Q1</t>
  </si>
  <si>
    <t>Q2</t>
  </si>
  <si>
    <t>Q3</t>
  </si>
  <si>
    <t>Q4</t>
  </si>
  <si>
    <t>Check pension contribution</t>
  </si>
  <si>
    <t>L&amp;G</t>
  </si>
  <si>
    <t>Target</t>
  </si>
  <si>
    <t>total +/-</t>
  </si>
  <si>
    <t>Gary Ford</t>
  </si>
  <si>
    <t>13 Housing</t>
  </si>
  <si>
    <t>Durham</t>
  </si>
  <si>
    <t>Total</t>
  </si>
  <si>
    <t>Target Q1 20</t>
  </si>
  <si>
    <t>GBQ</t>
  </si>
  <si>
    <t>Phoenix Life</t>
  </si>
  <si>
    <t>Gr in Yr</t>
  </si>
  <si>
    <t>Halifax</t>
  </si>
  <si>
    <t>circ £300 PM</t>
  </si>
  <si>
    <t>31st July</t>
  </si>
  <si>
    <t>31st Aug</t>
  </si>
  <si>
    <t>GBY</t>
  </si>
  <si>
    <t>Start 2021</t>
  </si>
  <si>
    <t>29th Jan</t>
  </si>
  <si>
    <t>Pension Contribution 2021</t>
  </si>
  <si>
    <t>Actual increase</t>
  </si>
  <si>
    <t>Start 2022</t>
  </si>
  <si>
    <t>31st Jan</t>
  </si>
  <si>
    <t xml:space="preserve">Target </t>
  </si>
  <si>
    <t>20 PCM</t>
  </si>
  <si>
    <t>19/09 updte 2,677  PA from 7/4/28 = 240 PCM</t>
  </si>
  <si>
    <t>223 PCM</t>
  </si>
  <si>
    <t>Start 2023</t>
  </si>
  <si>
    <t xml:space="preserve">Key aspects </t>
  </si>
  <si>
    <t>LTA</t>
  </si>
  <si>
    <t>Allowable PA</t>
  </si>
  <si>
    <t>Top ups</t>
  </si>
  <si>
    <t>SAP Pension Scottish Widows</t>
  </si>
  <si>
    <t>Ciber Pension L&amp;G</t>
  </si>
  <si>
    <t>IBM Pension L&amp;G</t>
  </si>
  <si>
    <t xml:space="preserve">Gary Ford </t>
  </si>
  <si>
    <t>31/`3/2023</t>
  </si>
  <si>
    <t>Start 2024</t>
  </si>
  <si>
    <t>31st Mar</t>
  </si>
  <si>
    <t>Tax Year</t>
  </si>
  <si>
    <t>2019/20</t>
  </si>
  <si>
    <t>2020/21</t>
  </si>
  <si>
    <t>2021/22</t>
  </si>
  <si>
    <t>2022/23</t>
  </si>
  <si>
    <t>2023/24</t>
  </si>
  <si>
    <t>2024/25</t>
  </si>
  <si>
    <t>Contribution</t>
  </si>
  <si>
    <t xml:space="preserve">March </t>
  </si>
  <si>
    <t>Bonus</t>
  </si>
  <si>
    <t>Contribution v's Allowance</t>
  </si>
  <si>
    <t>Carry over allowance</t>
  </si>
  <si>
    <r>
      <t>Ciber Pension L&amp;G -</t>
    </r>
    <r>
      <rPr>
        <b/>
        <sz val="11"/>
        <color theme="1"/>
        <rFont val="Calibri"/>
        <family val="2"/>
        <scheme val="minor"/>
      </rPr>
      <t xml:space="preserve"> GF</t>
    </r>
  </si>
  <si>
    <t>Tax free cash calculation</t>
  </si>
  <si>
    <t>April</t>
  </si>
  <si>
    <t>May</t>
  </si>
  <si>
    <t>June</t>
  </si>
  <si>
    <t>July</t>
  </si>
  <si>
    <t>Aug</t>
  </si>
  <si>
    <t>Govt</t>
  </si>
  <si>
    <t>SAP  SW on TP</t>
  </si>
  <si>
    <t>Ciber Pension L&amp;G  on TP</t>
  </si>
  <si>
    <t>Cost 100 PM</t>
  </si>
  <si>
    <t>Cost 60 PCM</t>
  </si>
  <si>
    <t>Cost 700 PCM</t>
  </si>
  <si>
    <t>Top up for 2024/5</t>
  </si>
  <si>
    <t>Top up for 2025/6</t>
  </si>
  <si>
    <t>Start 2025</t>
  </si>
  <si>
    <t>less Top ups</t>
  </si>
  <si>
    <t>Net increases</t>
  </si>
  <si>
    <t>%</t>
  </si>
  <si>
    <t>Top up for 2025/6 Done</t>
  </si>
  <si>
    <t>New top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</si>
</sst>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2" applyNumberFormat="0" applyAlignment="0" applyProtection="0"/>
  </cellStyleXfs>
  <cellXfs count="38">
    <xf numFmtId="0" fontId="0" fillId="0" borderId="0" xfId="0"/>
    <xf numFmtId="14" fontId="0" fillId="0" borderId="0" xfId="0" applyNumberFormat="1"/>
    <xf numFmtId="3" fontId="0" fillId="0" borderId="0" xfId="0" applyNumberFormat="1"/>
    <xf numFmtId="3" fontId="0" fillId="0" borderId="1" xfId="0" applyNumberFormat="1" applyBorder="1"/>
    <xf numFmtId="3" fontId="1" fillId="2" borderId="0" xfId="1" applyNumberFormat="1"/>
    <xf numFmtId="0" fontId="3" fillId="4" borderId="0" xfId="3"/>
    <xf numFmtId="0" fontId="4" fillId="5" borderId="2" xfId="4"/>
    <xf numFmtId="0" fontId="2" fillId="3" borderId="0" xfId="2"/>
    <xf numFmtId="3" fontId="1" fillId="2" borderId="1" xfId="1" applyNumberFormat="1" applyBorder="1"/>
    <xf numFmtId="3" fontId="0" fillId="0" borderId="3" xfId="0" applyNumberFormat="1" applyBorder="1"/>
    <xf numFmtId="3" fontId="3" fillId="4" borderId="0" xfId="3" applyNumberFormat="1"/>
    <xf numFmtId="17" fontId="0" fillId="0" borderId="0" xfId="0" applyNumberFormat="1"/>
    <xf numFmtId="3" fontId="0" fillId="6" borderId="0" xfId="0" applyNumberFormat="1" applyFill="1"/>
    <xf numFmtId="3" fontId="0" fillId="7" borderId="0" xfId="0" applyNumberFormat="1" applyFill="1"/>
    <xf numFmtId="9" fontId="0" fillId="0" borderId="0" xfId="0" applyNumberFormat="1"/>
    <xf numFmtId="0" fontId="0" fillId="6" borderId="0" xfId="0" applyFill="1"/>
    <xf numFmtId="0" fontId="0" fillId="8" borderId="0" xfId="0" applyFill="1"/>
    <xf numFmtId="3" fontId="0" fillId="8" borderId="0" xfId="0" applyNumberFormat="1" applyFill="1"/>
    <xf numFmtId="3" fontId="0" fillId="8" borderId="1" xfId="0" applyNumberFormat="1" applyFill="1" applyBorder="1"/>
    <xf numFmtId="16" fontId="0" fillId="0" borderId="0" xfId="0" applyNumberFormat="1"/>
    <xf numFmtId="3" fontId="0" fillId="9" borderId="0" xfId="0" applyNumberFormat="1" applyFill="1"/>
    <xf numFmtId="0" fontId="0" fillId="0" borderId="4" xfId="0" applyBorder="1"/>
    <xf numFmtId="0" fontId="0" fillId="0" borderId="5" xfId="0" applyBorder="1"/>
    <xf numFmtId="17" fontId="5" fillId="0" borderId="0" xfId="0" applyNumberFormat="1" applyFont="1"/>
    <xf numFmtId="16" fontId="5" fillId="0" borderId="0" xfId="0" applyNumberFormat="1" applyFont="1"/>
    <xf numFmtId="0" fontId="5" fillId="0" borderId="0" xfId="0" applyFont="1"/>
    <xf numFmtId="10" fontId="0" fillId="0" borderId="0" xfId="0" applyNumberFormat="1"/>
    <xf numFmtId="3" fontId="1" fillId="0" borderId="0" xfId="1" applyNumberFormat="1" applyFill="1"/>
    <xf numFmtId="3" fontId="6" fillId="0" borderId="0" xfId="0" applyNumberFormat="1" applyFont="1"/>
    <xf numFmtId="3" fontId="6" fillId="0" borderId="0" xfId="1" applyNumberFormat="1" applyFont="1" applyFill="1"/>
    <xf numFmtId="3" fontId="7" fillId="0" borderId="0" xfId="1" applyNumberFormat="1" applyFont="1" applyFill="1"/>
    <xf numFmtId="3" fontId="0" fillId="10" borderId="0" xfId="0" applyNumberFormat="1" applyFill="1"/>
    <xf numFmtId="0" fontId="0" fillId="10" borderId="0" xfId="0" applyFill="1"/>
    <xf numFmtId="3" fontId="7" fillId="0" borderId="0" xfId="0" applyNumberFormat="1" applyFont="1"/>
    <xf numFmtId="3" fontId="8" fillId="0" borderId="0" xfId="1" applyNumberFormat="1" applyFont="1" applyFill="1"/>
    <xf numFmtId="3" fontId="7" fillId="11" borderId="0" xfId="0" applyNumberFormat="1" applyFont="1" applyFill="1"/>
    <xf numFmtId="0" fontId="6" fillId="0" borderId="0" xfId="0" applyFont="1"/>
    <xf numFmtId="0" fontId="0" fillId="0" borderId="0" xfId="0" applyAlignment="1">
      <alignment horizontal="center"/>
    </xf>
  </cellXfs>
  <cellStyles count="5">
    <cellStyle name="Bad" xfId="2" builtinId="27"/>
    <cellStyle name="Good" xfId="1" builtinId="26"/>
    <cellStyle name="Input" xfId="4" builtinId="20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1010</xdr:colOff>
      <xdr:row>5</xdr:row>
      <xdr:rowOff>23560</xdr:rowOff>
    </xdr:from>
    <xdr:to>
      <xdr:col>6</xdr:col>
      <xdr:colOff>601490</xdr:colOff>
      <xdr:row>11</xdr:row>
      <xdr:rowOff>161150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92D7F8B-B02A-4B33-B13D-5EBF4B307CEB}"/>
                </a:ext>
              </a:extLst>
            </xdr14:cNvPr>
            <xdr14:cNvContentPartPr/>
          </xdr14:nvContentPartPr>
          <xdr14:nvPr macro=""/>
          <xdr14:xfrm>
            <a:off x="2845810" y="944310"/>
            <a:ext cx="2429280" cy="12488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392D7F8B-B02A-4B33-B13D-5EBF4B307CE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766961" y="954360"/>
              <a:ext cx="2446917" cy="1266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22945482ed0d909/Documents/Personnal_Folders/Personnal_Folders/Personal%20Finance/Other/Monthly%20Summary.xlsx" TargetMode="External"/><Relationship Id="rId1" Type="http://schemas.openxmlformats.org/officeDocument/2006/relationships/externalLinkPath" Target="Monthly%20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_04_20"/>
      <sheetName val="29_05_20"/>
      <sheetName val="30_06_20"/>
      <sheetName val="31_07_20"/>
      <sheetName val="31_08_20"/>
      <sheetName val="01_10_20"/>
      <sheetName val="30-10-20"/>
      <sheetName val="30-11-20"/>
      <sheetName val="31-12-20"/>
      <sheetName val="31-01-21"/>
      <sheetName val="28-02-21"/>
      <sheetName val="31-03-21"/>
      <sheetName val="30-04-21"/>
      <sheetName val="30-06-21"/>
      <sheetName val="30-07-21"/>
      <sheetName val="31-08-21"/>
      <sheetName val="30-09-21"/>
      <sheetName val="29-10-21"/>
      <sheetName val="30-11-21"/>
      <sheetName val="31-12-21"/>
      <sheetName val="31-01-22"/>
      <sheetName val="02-03022"/>
      <sheetName val="02-04-22"/>
      <sheetName val="30-04-22"/>
      <sheetName val="31-05-22"/>
      <sheetName val="30-06-22"/>
      <sheetName val="31-07-22"/>
      <sheetName val="31-08-22"/>
      <sheetName val="30-09-22"/>
      <sheetName val="31-10-22"/>
      <sheetName val="30-11-22"/>
      <sheetName val="30-12-22"/>
      <sheetName val="31-01-23"/>
      <sheetName val="28-02-23"/>
      <sheetName val="31-03-23"/>
      <sheetName val="28-04-23"/>
      <sheetName val="31-05-23"/>
      <sheetName val="30-06-23"/>
      <sheetName val="31-07-23"/>
      <sheetName val="31-08-23"/>
      <sheetName val="30-09-23"/>
      <sheetName val="31-10-23"/>
      <sheetName val="30-11-23"/>
      <sheetName val="29-12-23"/>
      <sheetName val="31-01-24"/>
      <sheetName val="29-02-24"/>
      <sheetName val="28-03-24"/>
      <sheetName val="plus 1"/>
      <sheetName val="31-05-24"/>
      <sheetName val="28-06"/>
      <sheetName val="31-07-24"/>
      <sheetName val="31-08-24"/>
      <sheetName val="30-09-24"/>
      <sheetName val="31-10-24"/>
      <sheetName val="30-11-24"/>
      <sheetName val="31-12-24"/>
      <sheetName val="31-01-25"/>
      <sheetName val="28-02-2025"/>
      <sheetName val="31-03-2025"/>
      <sheetName val="30-04-2025"/>
      <sheetName val="31-05-2025"/>
      <sheetName val="30-06-2025"/>
      <sheetName val="31-07-2025"/>
      <sheetName val="31-08-2025"/>
      <sheetName val="30-09-2025"/>
      <sheetName val="31-10-2025"/>
      <sheetName val="28-11-2025"/>
      <sheetName val="31-12-2025"/>
      <sheetName val="31-01-2026"/>
      <sheetName val="28-02-2026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4">
          <cell r="G4">
            <v>63524</v>
          </cell>
        </row>
        <row r="5">
          <cell r="G5">
            <v>63524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4">
          <cell r="G4">
            <v>53757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4">
          <cell r="G4">
            <v>56077</v>
          </cell>
        </row>
        <row r="5">
          <cell r="G5">
            <v>56077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26T19:32:54.79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1130 0 1224,'27'4'1012,"-12"-2"997,-31-2-482,4 1-1479,0 1 0,2 0 0,-2 0 0,1 1-1,0 1 1,0 0 0,-13 5 0,-14 6-116,-257 57 71,56-19 198,214-44-83,0 1 1,1 0 0,0 3 0,2-1-1,0 2 1,0 0 0,1 1 0,0 2-1,1 0 1,1 1 0,1 1 0,1 1-1,-27 37 1,22-22 213,2-1 0,1 1 0,1 2 0,2 0-1,2 0 1,2 2 0,1-1 0,-7 51 0,14-58-262,2 0 0,1 2 0,2-1 0,0-1 0,9 45 0,0-28-68,3-1 0,32 81 0,-23-72-35,3-1 0,3-1 0,66 97 0,-57-104 15,3-2 0,2-2-1,0-2 1,4-1-1,0-3 1,57 35 0,-38-31-147,3-4 1,1-3 0,1-3 0,99 29 0,-129-47-184,1-3 0,0-1 1,1-2-1,1-2 0,-1-1 0,66-4 1,-82-2 162,-2-1 1,2-1 0,-1-2 0,0 0 0,-1-2 0,1 1 0,-2-3 0,1-1 0,-1 0-1,-1-1 1,0-2 0,20-16 0,-16 8 63,-2-1-1,0 0 1,-1-2 0,36-55-1,-25 27 110,45-95 0,-59 99 282,-1-1 0,-3-1 0,-2-1 0,-2 0 0,-3-1 0,-2 1 0,-2-1 0,-4-90 0,-3 119 6,-1-1 0,-1 2 0,-1 0 0,-1 0 0,-1 0 0,-1 1 0,-1 0 0,-1 1 0,-1 0 0,-1 1 0,-23-31 0,-11-6 587,-3 3 0,-76-69-1,86 87-750,-18-14 87,-2 2-1,-117-71 1,78 63-427,-128-55-1,186 94-14,-2 2 0,0 2 0,0 1 1,-1 2-1,-81-7 0,84 15-711,1 2 0,-1 1 0,-74 13 0,20 5-1643</inkml:trace>
  <inkml:trace contextRef="#ctx0" brushRef="#br0" timeOffset="1">1215 812 7914,'-2'-1'26,"0"1"1,0 0-1,0 0 1,0 0 0,0 0-1,-1 1 1,1-1-1,0 0 1,0 1-1,0-1 1,0 1 0,1 0-1,-1 0 1,0 0-1,0 0 1,0 0-1,-2 2 1,3-1-38,-1 0-1,1 0 1,0 1 0,0-1-1,0 0 1,0 1 0,0-1 0,0 1-1,1-1 1,-1 1 0,1 0-1,-1-2 1,1 6 0,-2 50 43,2 0-1,3 0 1,2 1 0,3-2 0,2 0 0,3 0 0,2-1 0,27 65-1,-13-45-41,100 225-64,-95-241 73,65 86-1,-4-7-4,-60-81 17,3-2-1,2-2 1,63 68 0,81 48-17,-74-71 1,-46-42 13,3 0-1,120 76 1,-65-64 133,3-3 1,4-6-1,2-7 1,2-3-1,2-7 1,0-6-1,4-6 1,221 20-1,-209-40 660,256-13-1,-314-6-478,0-2-1,0-6 0,174-55 0,-180 43 33,115-39 326,-145 49-591,1-2 1,105-53-1,-123 52-70,181-106 82,-187 104-85,0-1 0,-2-1 1,0-2-1,30-36 0,-24 19 24,-1-2-1,-2-2 1,-3-1 0,-2-2-1,-2 0 1,-2-2-1,-4-1 1,-2-1-1,-2-1 1,-2-1 0,14-114-1,-28 136-28,-3-50-1,-1-3-7,3 62-2,-1-9-5,2 0 0,1 0 0,12-54 0,-2 35 10,-10 35-11,2-2 0,7-18 0,-8 28-8,0-1-1,-1-1 1,2-22-1,3-14-92,7-65-405,-12 102 508,-2-2-1,0 0 1,-1 0-1,-2-22 1,1 19 25,1-33 1,0 49-22,0-1 0,0 1 0,0 0 0,0 0 0,0 0-1,-1 0 1,1 0 0,-1-1 0,-1-2 0,-2-6 28,4 11-24,0-1 1,-1 1 0,1 0-1,0-1 1,-1 1-1,1 0 1,-1 0 0,1 0-1,0-1 1,-1 1-1,1 0 1,-1 0 0,1 0-1,0 0 1,-1 0 0,1 0-1,-1 0 1,1 0-1,-1 0 1,1 0 0,0 0-1,-1 0 1,1 0 0,-1 0-1,1 0 1,-1 0-1,1 1 1,0 0-2,1 0 1,-1 1-1,0-1 1,1 1-1,-1-1 0,0 1 1,0-1-1,0 1 0,0-1 1,0 1-1,0-1 0,0 0 1,-1 1-1,1-1 1,-1 1-1,1-1 0,-1 1 1,1-1-1,-1 0 0,1 1 1,-1-1-1,0 0 0,-2 2 1,1 1-2,0-1 0,0 0 1,-1 1-1,1-1 0,-1 0 1,0 0-1,0 1 0,-5 3 1,0-3-8,-5 2-84,12-6 82,0-1 1,1 1 0,-1-1-1,1 1 1,-1-1-1,1 0 1,-1 1-1,1-1 1,0 1-1,-1-1 1,1 0 0,0 1-1,-1-1 1,1 0-1,0 1 1,0-1-1,0 0 1,0 0-1,-1 1 1,1-1-1,0 0 1,0 0 0,0 1-1,1-2 1,-1-15-135,0 14 134,0 2 0,0-2 0,0 1 0,0 0 0,0-1 0,0 1 0,-1 0 0,-1-5 0,2 6 7,-1 0 0,0 0 1,1 0-1,-1 1 1,0-1-1,0 0 0,0 0 1,1 0-1,-1 1 0,0-1 1,0 1-1,0-1 0,0 1 1,-1-1-1,1 1 0,0-1 1,0 1-1,0 0 1,0 0-1,0-1 0,0 1 1,-1 0-1,-1 0 0,-5 0 11,0 1-1,0-1 1,1 1-1,-1 1 1,0 0-1,0 0 1,1 0-1,-1 1 1,2 0-1,-1 0 1,-1 1-1,-9 7 0,-2 1 173,1 3-1,1-1 0,-19 21 0,22-19-80,1-1 1,0 2-1,2 1 1,0-1-1,1 2 1,0-1-1,-9 31 1,16-36-170,9-20-43,11-20-116,-4 6-1,2 1 0,0 0 0,1 1 0,28-26-1,-24 24 231,-12 13-2,0 1 0,1 0-1,-1 1 1,1 0 0,1-1 0,-1 2 0,1 0-1,15-8 1,-17 11 20,-1 0 0,0 0 0,0 0 0,1 1 1,-1 0-1,1 1 0,-1-1 0,1 1 0,-1 1 0,1 0 0,-1 0 0,-1 0 0,14 5 0,-2 2 100,0 0-1,-1 1 1,0 0-1,30 23 1,57 54 157,-78-59-168,-1 0-1,39 54 0,-62-78-83,0 1 0,0 0-1,0-1 1,0 1 0,-1 0 0,1 0 0,-1 0-1,0 0 1,1 6 0,-2-8-127,0-1 0,0 1 1,0-1-1,0 1 0,0-1 0,0 1 1,0-1-1,-1 1 0,1-1 0,0 0 1,-1 1-1,1-1 0,-1 1 0,0-1 1,1 0-1,-1 0 0,0 1 0,0-1 1,0 0-1,0 0 0,0 0 0,0 0 0,0 0 1,0 0-1,0 0 0,-1 0 0,1 0 1,0-1-1,0 1 0,-3 0 0,-17 6-5427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AE2B3-C57C-425F-9DB6-9EAB8445ADA3}">
  <dimension ref="B2:M16"/>
  <sheetViews>
    <sheetView zoomScale="70" zoomScaleNormal="70" workbookViewId="0">
      <selection activeCell="C15" sqref="C15"/>
    </sheetView>
  </sheetViews>
  <sheetFormatPr defaultRowHeight="14.5" x14ac:dyDescent="0.35"/>
  <cols>
    <col min="2" max="2" width="23.26953125" bestFit="1" customWidth="1"/>
  </cols>
  <sheetData>
    <row r="2" spans="2:13" x14ac:dyDescent="0.35">
      <c r="B2" t="s">
        <v>50</v>
      </c>
      <c r="C2" s="15" t="s">
        <v>51</v>
      </c>
      <c r="D2" t="s">
        <v>52</v>
      </c>
      <c r="E2" t="s">
        <v>53</v>
      </c>
      <c r="F2" t="s">
        <v>54</v>
      </c>
      <c r="G2" t="s">
        <v>55</v>
      </c>
      <c r="I2" t="s">
        <v>56</v>
      </c>
    </row>
    <row r="3" spans="2:13" x14ac:dyDescent="0.35">
      <c r="B3" t="s">
        <v>57</v>
      </c>
      <c r="C3" s="12">
        <v>29710</v>
      </c>
      <c r="D3" s="2">
        <v>30267</v>
      </c>
      <c r="E3" s="2">
        <v>30476</v>
      </c>
      <c r="F3" s="2">
        <v>30980</v>
      </c>
      <c r="G3" s="2">
        <v>37491</v>
      </c>
    </row>
    <row r="4" spans="2:13" x14ac:dyDescent="0.35">
      <c r="G4" s="2">
        <v>3164</v>
      </c>
      <c r="H4" t="s">
        <v>58</v>
      </c>
      <c r="M4" s="2"/>
    </row>
    <row r="5" spans="2:13" x14ac:dyDescent="0.35">
      <c r="G5" s="2">
        <v>39279</v>
      </c>
      <c r="H5" t="s">
        <v>59</v>
      </c>
    </row>
    <row r="6" spans="2:13" x14ac:dyDescent="0.35">
      <c r="B6" t="s">
        <v>60</v>
      </c>
      <c r="G6" s="2">
        <f>SUM(G3:G5)</f>
        <v>79934</v>
      </c>
      <c r="H6" t="s">
        <v>18</v>
      </c>
    </row>
    <row r="7" spans="2:13" x14ac:dyDescent="0.35">
      <c r="D7" s="2">
        <f>40000-D3</f>
        <v>9733</v>
      </c>
      <c r="E7" s="2">
        <f>40000-E3</f>
        <v>9524</v>
      </c>
      <c r="F7" s="12">
        <f>40000-F3</f>
        <v>9020</v>
      </c>
      <c r="G7" s="2">
        <f>60000-G6</f>
        <v>-19934</v>
      </c>
      <c r="H7" s="2">
        <f>SUM(D7:G7)</f>
        <v>8343</v>
      </c>
      <c r="I7" s="2">
        <f>G13-G6</f>
        <v>8343</v>
      </c>
      <c r="J7" t="s">
        <v>61</v>
      </c>
    </row>
    <row r="8" spans="2:13" x14ac:dyDescent="0.35">
      <c r="I8" s="2">
        <v>60000</v>
      </c>
    </row>
    <row r="9" spans="2:13" x14ac:dyDescent="0.35">
      <c r="C9">
        <v>2024</v>
      </c>
      <c r="I9" s="2">
        <f>SUM(I7:I8)</f>
        <v>68343</v>
      </c>
    </row>
    <row r="10" spans="2:13" x14ac:dyDescent="0.35">
      <c r="C10" t="s">
        <v>64</v>
      </c>
      <c r="D10">
        <v>3250</v>
      </c>
    </row>
    <row r="11" spans="2:13" x14ac:dyDescent="0.35">
      <c r="C11" t="s">
        <v>65</v>
      </c>
      <c r="D11">
        <v>3250</v>
      </c>
    </row>
    <row r="12" spans="2:13" x14ac:dyDescent="0.35">
      <c r="C12" t="s">
        <v>66</v>
      </c>
      <c r="D12">
        <v>3250</v>
      </c>
    </row>
    <row r="13" spans="2:13" x14ac:dyDescent="0.35">
      <c r="C13" t="s">
        <v>67</v>
      </c>
      <c r="D13">
        <v>10000</v>
      </c>
      <c r="G13">
        <v>88277</v>
      </c>
      <c r="I13" s="2">
        <v>1073100</v>
      </c>
      <c r="J13" t="s">
        <v>63</v>
      </c>
    </row>
    <row r="14" spans="2:13" x14ac:dyDescent="0.35">
      <c r="C14" t="s">
        <v>68</v>
      </c>
      <c r="D14">
        <v>10000</v>
      </c>
    </row>
    <row r="15" spans="2:13" x14ac:dyDescent="0.35">
      <c r="C15" t="s">
        <v>59</v>
      </c>
      <c r="D15">
        <f>15000</f>
        <v>15000</v>
      </c>
    </row>
    <row r="16" spans="2:13" x14ac:dyDescent="0.35">
      <c r="C16" t="s">
        <v>18</v>
      </c>
      <c r="D16">
        <f>SUM(D10:D15)</f>
        <v>44750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8A0A-9205-4141-933B-4B0A7DF6D6A3}">
  <dimension ref="A2:U26"/>
  <sheetViews>
    <sheetView tabSelected="1" workbookViewId="0">
      <selection activeCell="D5" sqref="D5"/>
    </sheetView>
  </sheetViews>
  <sheetFormatPr defaultRowHeight="14.5" x14ac:dyDescent="0.35"/>
  <cols>
    <col min="1" max="1" width="21.90625" bestFit="1" customWidth="1"/>
    <col min="2" max="2" width="0" hidden="1" customWidth="1"/>
    <col min="4" max="4" width="9.36328125" bestFit="1" customWidth="1"/>
    <col min="5" max="5" width="9.54296875" bestFit="1" customWidth="1"/>
    <col min="6" max="6" width="9.36328125" bestFit="1" customWidth="1"/>
    <col min="7" max="13" width="9.54296875" bestFit="1" customWidth="1"/>
    <col min="15" max="15" width="9.26953125" customWidth="1"/>
  </cols>
  <sheetData>
    <row r="2" spans="1:20" x14ac:dyDescent="0.35">
      <c r="B2" t="s">
        <v>34</v>
      </c>
      <c r="C2" t="s">
        <v>77</v>
      </c>
      <c r="D2" s="24" t="s">
        <v>33</v>
      </c>
      <c r="E2" s="24">
        <v>44255</v>
      </c>
      <c r="F2" s="24" t="s">
        <v>49</v>
      </c>
      <c r="G2" s="24">
        <v>45777</v>
      </c>
      <c r="H2" s="24">
        <v>43982</v>
      </c>
      <c r="I2" s="24">
        <v>44377</v>
      </c>
      <c r="J2" s="25" t="s">
        <v>25</v>
      </c>
      <c r="K2" s="25" t="s">
        <v>26</v>
      </c>
      <c r="L2" s="24">
        <v>44469</v>
      </c>
      <c r="M2" s="24">
        <v>44134</v>
      </c>
      <c r="N2" s="24">
        <v>44165</v>
      </c>
      <c r="O2" s="24">
        <v>44561</v>
      </c>
    </row>
    <row r="3" spans="1:20" ht="15" thickBot="1" x14ac:dyDescent="0.4">
      <c r="A3" s="22" t="s">
        <v>71</v>
      </c>
      <c r="B3">
        <v>65</v>
      </c>
      <c r="C3" s="2">
        <v>54777</v>
      </c>
      <c r="D3" s="2">
        <v>57098</v>
      </c>
      <c r="E3" s="2">
        <v>59531</v>
      </c>
      <c r="F3" s="33"/>
      <c r="G3" s="2"/>
      <c r="H3" s="2"/>
      <c r="I3" s="2"/>
      <c r="J3" s="2"/>
      <c r="K3" s="2"/>
      <c r="L3" s="2"/>
      <c r="M3" s="2"/>
      <c r="N3" s="2"/>
      <c r="O3" s="2"/>
      <c r="P3" s="2" t="s">
        <v>73</v>
      </c>
      <c r="Q3" s="2"/>
      <c r="R3" s="2">
        <f>O3-C3</f>
        <v>-54777</v>
      </c>
      <c r="T3">
        <f>R3/C3*100</f>
        <v>-100</v>
      </c>
    </row>
    <row r="4" spans="1:20" x14ac:dyDescent="0.35">
      <c r="A4" t="s">
        <v>70</v>
      </c>
      <c r="B4">
        <v>650</v>
      </c>
      <c r="C4" s="2">
        <v>722028</v>
      </c>
      <c r="D4" s="2">
        <v>725945</v>
      </c>
      <c r="E4" s="2">
        <v>747254</v>
      </c>
      <c r="F4" s="33"/>
      <c r="G4" s="2"/>
      <c r="H4" s="2"/>
      <c r="I4" s="2"/>
      <c r="J4" s="2"/>
      <c r="K4" s="2"/>
      <c r="L4" s="2"/>
      <c r="M4" s="2"/>
      <c r="N4" s="2"/>
      <c r="O4" s="2"/>
      <c r="P4" s="2" t="s">
        <v>74</v>
      </c>
      <c r="Q4" s="2"/>
      <c r="R4" s="2">
        <f>O4-F4</f>
        <v>0</v>
      </c>
      <c r="S4" s="2">
        <f>O4-F4</f>
        <v>0</v>
      </c>
      <c r="T4" t="e">
        <f>S4/F4*100</f>
        <v>#DIV/0!</v>
      </c>
    </row>
    <row r="5" spans="1:20" x14ac:dyDescent="0.35">
      <c r="A5" t="s">
        <v>3</v>
      </c>
      <c r="B5">
        <v>250</v>
      </c>
      <c r="C5" s="33">
        <v>195181</v>
      </c>
      <c r="D5" s="33">
        <f>C5-879</f>
        <v>194302</v>
      </c>
      <c r="E5" s="33">
        <f>C5-(879*2)</f>
        <v>193423</v>
      </c>
      <c r="F5" s="33"/>
      <c r="G5" s="33"/>
      <c r="H5" s="33"/>
      <c r="I5" s="33"/>
      <c r="J5" s="33"/>
      <c r="K5" s="33"/>
      <c r="L5" s="33"/>
      <c r="M5" s="33"/>
      <c r="N5" s="33"/>
      <c r="O5" s="33"/>
      <c r="P5" s="2"/>
      <c r="R5" t="s">
        <v>79</v>
      </c>
      <c r="T5" t="s">
        <v>80</v>
      </c>
    </row>
    <row r="6" spans="1:20" ht="15" thickBot="1" x14ac:dyDescent="0.4">
      <c r="B6">
        <f>SUM(B3:B5)</f>
        <v>965</v>
      </c>
      <c r="C6" s="3">
        <v>971986</v>
      </c>
      <c r="D6" s="3">
        <f t="shared" ref="D6:O6" si="0">SUM(D3:D5)</f>
        <v>977345</v>
      </c>
      <c r="E6" s="3">
        <f t="shared" si="0"/>
        <v>1000208</v>
      </c>
      <c r="F6" s="3">
        <f t="shared" si="0"/>
        <v>0</v>
      </c>
      <c r="G6" s="3">
        <f t="shared" si="0"/>
        <v>0</v>
      </c>
      <c r="H6" s="3">
        <f t="shared" si="0"/>
        <v>0</v>
      </c>
      <c r="I6" s="3">
        <f t="shared" si="0"/>
        <v>0</v>
      </c>
      <c r="J6" s="3">
        <f t="shared" si="0"/>
        <v>0</v>
      </c>
      <c r="K6" s="3">
        <f t="shared" si="0"/>
        <v>0</v>
      </c>
      <c r="L6" s="3">
        <f t="shared" si="0"/>
        <v>0</v>
      </c>
      <c r="M6" s="3">
        <f t="shared" si="0"/>
        <v>0</v>
      </c>
      <c r="N6" s="3">
        <f t="shared" si="0"/>
        <v>0</v>
      </c>
      <c r="O6" s="3">
        <f t="shared" si="0"/>
        <v>0</v>
      </c>
      <c r="P6" s="2"/>
    </row>
    <row r="7" spans="1:20" ht="15" thickTop="1" x14ac:dyDescent="0.35">
      <c r="A7" t="s">
        <v>4</v>
      </c>
      <c r="C7" s="34"/>
      <c r="D7" s="33">
        <f>D6-C6</f>
        <v>5359</v>
      </c>
      <c r="E7" s="33">
        <f>E6-D6</f>
        <v>22863</v>
      </c>
      <c r="F7" s="2">
        <f>F6-E6</f>
        <v>-1000208</v>
      </c>
      <c r="G7" s="2">
        <f>G6-F6</f>
        <v>0</v>
      </c>
      <c r="H7" s="2">
        <f>H6-G6</f>
        <v>0</v>
      </c>
      <c r="I7" s="30">
        <f t="shared" ref="I7:O7" si="1">I6-H6</f>
        <v>0</v>
      </c>
      <c r="J7" s="27">
        <f t="shared" si="1"/>
        <v>0</v>
      </c>
      <c r="K7" s="27">
        <f t="shared" si="1"/>
        <v>0</v>
      </c>
      <c r="L7" s="27">
        <f t="shared" si="1"/>
        <v>0</v>
      </c>
      <c r="M7" s="27">
        <f t="shared" si="1"/>
        <v>0</v>
      </c>
      <c r="N7" s="27">
        <f t="shared" si="1"/>
        <v>0</v>
      </c>
      <c r="O7" s="27">
        <f t="shared" si="1"/>
        <v>0</v>
      </c>
      <c r="Q7">
        <f>20*11000</f>
        <v>220000</v>
      </c>
    </row>
    <row r="8" spans="1:20" x14ac:dyDescent="0.35">
      <c r="C8" s="2"/>
      <c r="O8" s="2">
        <f>SUM(D7:O7)</f>
        <v>-971986</v>
      </c>
    </row>
    <row r="9" spans="1:20" x14ac:dyDescent="0.35">
      <c r="C9" s="2"/>
      <c r="O9" s="2">
        <f>O6-C6</f>
        <v>-971986</v>
      </c>
    </row>
    <row r="11" spans="1:20" x14ac:dyDescent="0.35">
      <c r="D11" s="25" t="s">
        <v>81</v>
      </c>
      <c r="G11" s="36" t="s">
        <v>82</v>
      </c>
      <c r="P11" s="26"/>
      <c r="Q11" s="26"/>
      <c r="R11" s="14"/>
      <c r="S11">
        <f>2677/12</f>
        <v>223.08333333333334</v>
      </c>
    </row>
    <row r="12" spans="1:20" x14ac:dyDescent="0.35">
      <c r="C12" s="24">
        <v>44561</v>
      </c>
      <c r="D12" s="23" t="s">
        <v>33</v>
      </c>
      <c r="E12" s="24">
        <v>44255</v>
      </c>
      <c r="F12" s="24">
        <v>44286</v>
      </c>
      <c r="G12" s="24">
        <v>44315</v>
      </c>
      <c r="H12" s="24">
        <v>43982</v>
      </c>
      <c r="I12" s="24">
        <v>44377</v>
      </c>
      <c r="J12" s="25" t="s">
        <v>25</v>
      </c>
      <c r="K12" s="25" t="s">
        <v>26</v>
      </c>
      <c r="L12" s="24">
        <v>44469</v>
      </c>
      <c r="M12" s="24">
        <v>44134</v>
      </c>
      <c r="N12" s="24">
        <v>44165</v>
      </c>
      <c r="O12" s="24">
        <v>44561</v>
      </c>
      <c r="P12" s="2" t="s">
        <v>72</v>
      </c>
      <c r="Q12" s="2"/>
      <c r="R12" s="2"/>
    </row>
    <row r="13" spans="1:20" x14ac:dyDescent="0.35">
      <c r="A13" t="s">
        <v>46</v>
      </c>
      <c r="C13" s="2">
        <v>93472</v>
      </c>
      <c r="D13" s="2">
        <v>95638</v>
      </c>
      <c r="E13" s="2">
        <v>98202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20" x14ac:dyDescent="0.35">
      <c r="A14" t="s">
        <v>17</v>
      </c>
      <c r="P14" s="26" t="s">
        <v>35</v>
      </c>
      <c r="Q14" s="26"/>
      <c r="R14" s="14">
        <v>2025</v>
      </c>
    </row>
    <row r="15" spans="1:20" x14ac:dyDescent="0.35">
      <c r="A15" t="s">
        <v>16</v>
      </c>
      <c r="P15" t="s">
        <v>37</v>
      </c>
      <c r="R15">
        <v>2067</v>
      </c>
      <c r="S15" t="s">
        <v>36</v>
      </c>
    </row>
    <row r="16" spans="1:20" x14ac:dyDescent="0.35">
      <c r="A16" t="s">
        <v>18</v>
      </c>
      <c r="C16" s="2">
        <f t="shared" ref="C16:O16" si="2">SUM(C13:C15)</f>
        <v>93472</v>
      </c>
      <c r="D16" s="2">
        <f t="shared" si="2"/>
        <v>95638</v>
      </c>
      <c r="E16" s="2">
        <f t="shared" si="2"/>
        <v>98202</v>
      </c>
      <c r="F16" s="2">
        <f t="shared" si="2"/>
        <v>0</v>
      </c>
      <c r="G16" s="2">
        <f t="shared" si="2"/>
        <v>0</v>
      </c>
      <c r="H16" s="2">
        <f t="shared" si="2"/>
        <v>0</v>
      </c>
      <c r="I16" s="2">
        <f t="shared" si="2"/>
        <v>0</v>
      </c>
      <c r="J16" s="2">
        <f t="shared" si="2"/>
        <v>0</v>
      </c>
      <c r="K16" s="2">
        <f t="shared" si="2"/>
        <v>0</v>
      </c>
      <c r="L16" s="2">
        <f t="shared" si="2"/>
        <v>0</v>
      </c>
      <c r="M16" s="2">
        <f t="shared" si="2"/>
        <v>0</v>
      </c>
      <c r="N16" s="2">
        <f t="shared" si="2"/>
        <v>0</v>
      </c>
      <c r="O16" s="2">
        <f t="shared" si="2"/>
        <v>0</v>
      </c>
      <c r="P16" s="2">
        <f>O16-C16</f>
        <v>-93472</v>
      </c>
      <c r="T16">
        <f>O19/C16*100</f>
        <v>-100</v>
      </c>
    </row>
    <row r="17" spans="3:21" x14ac:dyDescent="0.35">
      <c r="C17" s="2">
        <f t="shared" ref="C17:O17" si="3">C16-B16</f>
        <v>93472</v>
      </c>
      <c r="D17" s="2">
        <f>D16-C16</f>
        <v>2166</v>
      </c>
      <c r="E17" s="2">
        <f t="shared" si="3"/>
        <v>2564</v>
      </c>
      <c r="F17" s="2">
        <f t="shared" si="3"/>
        <v>-98202</v>
      </c>
      <c r="G17" s="2">
        <f t="shared" si="3"/>
        <v>0</v>
      </c>
      <c r="H17" s="2">
        <f t="shared" si="3"/>
        <v>0</v>
      </c>
      <c r="I17" s="2">
        <f t="shared" si="3"/>
        <v>0</v>
      </c>
      <c r="J17" s="2">
        <f t="shared" si="3"/>
        <v>0</v>
      </c>
      <c r="K17" s="2">
        <f t="shared" si="3"/>
        <v>0</v>
      </c>
      <c r="L17" s="2">
        <f t="shared" si="3"/>
        <v>0</v>
      </c>
      <c r="M17" s="2">
        <f t="shared" si="3"/>
        <v>0</v>
      </c>
      <c r="N17" s="2">
        <f t="shared" si="3"/>
        <v>0</v>
      </c>
      <c r="O17" s="2">
        <f t="shared" si="3"/>
        <v>0</v>
      </c>
    </row>
    <row r="18" spans="3:21" x14ac:dyDescent="0.35">
      <c r="O18" s="2">
        <f>SUM(D17:O17)</f>
        <v>-93472</v>
      </c>
    </row>
    <row r="19" spans="3:21" x14ac:dyDescent="0.35">
      <c r="O19" s="2">
        <f>O18-(F10+I10)</f>
        <v>-93472</v>
      </c>
      <c r="P19" t="s">
        <v>78</v>
      </c>
    </row>
    <row r="20" spans="3:21" x14ac:dyDescent="0.35">
      <c r="D20">
        <v>2880</v>
      </c>
    </row>
    <row r="21" spans="3:21" x14ac:dyDescent="0.35">
      <c r="D21">
        <v>720</v>
      </c>
      <c r="Q21" cm="1">
        <f t="array" ref="Q21:Q22">'[1]28-04-23'!$G$4:$G$5</f>
        <v>56077</v>
      </c>
      <c r="T21" t="s">
        <v>39</v>
      </c>
    </row>
    <row r="22" spans="3:21" x14ac:dyDescent="0.35">
      <c r="Q22">
        <v>56077</v>
      </c>
      <c r="T22" t="s">
        <v>40</v>
      </c>
      <c r="U22">
        <v>1072000</v>
      </c>
    </row>
    <row r="23" spans="3:21" x14ac:dyDescent="0.35">
      <c r="Q23">
        <f>SUM(_xlfn.ANCHORARRAY(Q21))</f>
        <v>112154</v>
      </c>
      <c r="T23" t="s">
        <v>41</v>
      </c>
      <c r="U23">
        <v>44000</v>
      </c>
    </row>
    <row r="24" spans="3:21" x14ac:dyDescent="0.35">
      <c r="T24" t="s">
        <v>42</v>
      </c>
    </row>
    <row r="25" spans="3:21" x14ac:dyDescent="0.35">
      <c r="M25">
        <v>2880</v>
      </c>
    </row>
    <row r="26" spans="3:21" x14ac:dyDescent="0.35">
      <c r="L26" t="s">
        <v>69</v>
      </c>
      <c r="M26">
        <v>720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8E3FE-2DD6-41A8-BF3F-652A387E5550}">
  <dimension ref="A2:U28"/>
  <sheetViews>
    <sheetView workbookViewId="0">
      <selection activeCell="N6" sqref="N6"/>
    </sheetView>
  </sheetViews>
  <sheetFormatPr defaultRowHeight="14.5" x14ac:dyDescent="0.35"/>
  <cols>
    <col min="1" max="1" width="21.90625" bestFit="1" customWidth="1"/>
    <col min="2" max="2" width="0" hidden="1" customWidth="1"/>
    <col min="4" max="4" width="9.36328125" bestFit="1" customWidth="1"/>
    <col min="5" max="5" width="9.54296875" bestFit="1" customWidth="1"/>
    <col min="6" max="6" width="9.36328125" bestFit="1" customWidth="1"/>
    <col min="7" max="13" width="9.54296875" bestFit="1" customWidth="1"/>
    <col min="15" max="15" width="9.26953125" customWidth="1"/>
  </cols>
  <sheetData>
    <row r="2" spans="1:20" ht="15" thickBot="1" x14ac:dyDescent="0.4">
      <c r="B2" t="s">
        <v>34</v>
      </c>
      <c r="C2" t="s">
        <v>77</v>
      </c>
      <c r="D2" s="24" t="s">
        <v>33</v>
      </c>
      <c r="E2" s="24">
        <v>44255</v>
      </c>
      <c r="F2" s="24" t="s">
        <v>49</v>
      </c>
      <c r="G2" s="24">
        <v>45777</v>
      </c>
      <c r="H2" s="24">
        <v>43982</v>
      </c>
      <c r="I2" s="24">
        <v>44377</v>
      </c>
      <c r="J2" s="25" t="s">
        <v>25</v>
      </c>
      <c r="K2" s="25" t="s">
        <v>26</v>
      </c>
      <c r="L2" s="24">
        <v>44469</v>
      </c>
      <c r="M2" s="24">
        <v>44134</v>
      </c>
      <c r="N2" s="24">
        <v>44165</v>
      </c>
      <c r="O2" s="24">
        <v>44561</v>
      </c>
    </row>
    <row r="3" spans="1:20" x14ac:dyDescent="0.35">
      <c r="A3" s="21" t="s">
        <v>45</v>
      </c>
      <c r="B3">
        <v>135</v>
      </c>
      <c r="C3" s="2">
        <v>88683</v>
      </c>
      <c r="D3" s="2">
        <v>90365</v>
      </c>
      <c r="E3" s="2">
        <v>90227</v>
      </c>
      <c r="F3" s="35"/>
      <c r="G3" s="35"/>
      <c r="H3" s="35"/>
      <c r="I3" s="35"/>
      <c r="J3" s="35"/>
      <c r="K3" s="35"/>
      <c r="L3" s="35"/>
      <c r="M3" s="35"/>
      <c r="N3" s="35"/>
      <c r="O3" s="35"/>
      <c r="P3" s="2"/>
      <c r="Q3" s="2"/>
      <c r="R3" t="s">
        <v>79</v>
      </c>
      <c r="T3" t="s">
        <v>80</v>
      </c>
    </row>
    <row r="4" spans="1:20" ht="15" thickBot="1" x14ac:dyDescent="0.4">
      <c r="A4" s="22" t="s">
        <v>71</v>
      </c>
      <c r="B4">
        <v>65</v>
      </c>
      <c r="C4" s="2">
        <v>48475</v>
      </c>
      <c r="D4" s="2">
        <v>49974</v>
      </c>
      <c r="E4" s="2">
        <v>49620</v>
      </c>
      <c r="F4" s="33">
        <v>48607</v>
      </c>
      <c r="G4" s="2">
        <v>47715</v>
      </c>
      <c r="H4" s="2">
        <v>48897</v>
      </c>
      <c r="I4" s="2">
        <v>49695</v>
      </c>
      <c r="J4" s="2">
        <v>50834</v>
      </c>
      <c r="K4" s="2">
        <v>51287</v>
      </c>
      <c r="L4" s="2">
        <v>52784</v>
      </c>
      <c r="M4" s="2">
        <v>54188</v>
      </c>
      <c r="N4" s="2">
        <v>54408</v>
      </c>
      <c r="O4" s="2">
        <v>54777</v>
      </c>
      <c r="P4" s="2" t="s">
        <v>73</v>
      </c>
      <c r="Q4" s="2"/>
      <c r="R4" s="2">
        <f>O4-C4</f>
        <v>6302</v>
      </c>
      <c r="T4">
        <f>R4/C4*100</f>
        <v>13.000515729757605</v>
      </c>
    </row>
    <row r="5" spans="1:20" x14ac:dyDescent="0.35">
      <c r="A5" t="s">
        <v>70</v>
      </c>
      <c r="B5">
        <v>650</v>
      </c>
      <c r="C5" s="2">
        <v>548808</v>
      </c>
      <c r="D5" s="2">
        <v>568813</v>
      </c>
      <c r="E5" s="2">
        <v>554753</v>
      </c>
      <c r="F5" s="33">
        <v>622719</v>
      </c>
      <c r="G5" s="2">
        <f>599701+0</f>
        <v>599701</v>
      </c>
      <c r="H5" s="2">
        <v>627505</v>
      </c>
      <c r="I5" s="2">
        <v>636648</v>
      </c>
      <c r="J5" s="2">
        <v>672656</v>
      </c>
      <c r="K5" s="2">
        <v>674962</v>
      </c>
      <c r="L5" s="2">
        <v>693504</v>
      </c>
      <c r="M5" s="2">
        <v>727802</v>
      </c>
      <c r="N5" s="2">
        <v>721448</v>
      </c>
      <c r="O5" s="2">
        <v>722028</v>
      </c>
      <c r="P5" s="2" t="s">
        <v>74</v>
      </c>
      <c r="Q5" s="2"/>
      <c r="R5" s="2">
        <f>O5-F5</f>
        <v>99309</v>
      </c>
      <c r="S5" s="2">
        <f>O5-F5</f>
        <v>99309</v>
      </c>
      <c r="T5">
        <f>S5/F5*100</f>
        <v>15.947642516126855</v>
      </c>
    </row>
    <row r="6" spans="1:20" x14ac:dyDescent="0.35">
      <c r="A6" t="s">
        <v>3</v>
      </c>
      <c r="B6">
        <v>250</v>
      </c>
      <c r="C6" s="33">
        <v>237072</v>
      </c>
      <c r="D6" s="33">
        <v>237072</v>
      </c>
      <c r="E6" s="33">
        <v>237072</v>
      </c>
      <c r="F6" s="33">
        <v>237072</v>
      </c>
      <c r="G6" s="33">
        <f>F6-33101</f>
        <v>203971</v>
      </c>
      <c r="H6" s="33">
        <f>G6-(879*3)</f>
        <v>201334</v>
      </c>
      <c r="I6" s="33">
        <f>G6-(879*4)</f>
        <v>200455</v>
      </c>
      <c r="J6" s="33">
        <f>G6-(879*5)</f>
        <v>199576</v>
      </c>
      <c r="K6" s="33">
        <f>G6-(879*6)</f>
        <v>198697</v>
      </c>
      <c r="L6" s="33">
        <f>G6-(879*7)</f>
        <v>197818</v>
      </c>
      <c r="M6" s="33">
        <f>G6-(879*8)</f>
        <v>196939</v>
      </c>
      <c r="N6" s="33">
        <f>G6-(879*9)</f>
        <v>196060</v>
      </c>
      <c r="O6" s="33">
        <f>G6-(879*10)</f>
        <v>195181</v>
      </c>
    </row>
    <row r="7" spans="1:20" ht="15" thickBot="1" x14ac:dyDescent="0.4">
      <c r="B7">
        <f>SUM(B3:B6)</f>
        <v>1100</v>
      </c>
      <c r="C7" s="3">
        <f t="shared" ref="C7" si="0">SUM(C3:C6)</f>
        <v>923038</v>
      </c>
      <c r="D7" s="3">
        <f t="shared" ref="D7:O7" si="1">SUM(D3:D6)</f>
        <v>946224</v>
      </c>
      <c r="E7" s="3">
        <f t="shared" si="1"/>
        <v>931672</v>
      </c>
      <c r="F7" s="3">
        <f t="shared" si="1"/>
        <v>908398</v>
      </c>
      <c r="G7" s="3">
        <f t="shared" si="1"/>
        <v>851387</v>
      </c>
      <c r="H7" s="3">
        <f t="shared" si="1"/>
        <v>877736</v>
      </c>
      <c r="I7" s="3">
        <f t="shared" si="1"/>
        <v>886798</v>
      </c>
      <c r="J7" s="3">
        <f t="shared" si="1"/>
        <v>923066</v>
      </c>
      <c r="K7" s="3">
        <f t="shared" si="1"/>
        <v>924946</v>
      </c>
      <c r="L7" s="3">
        <f t="shared" si="1"/>
        <v>944106</v>
      </c>
      <c r="M7" s="3">
        <f t="shared" si="1"/>
        <v>978929</v>
      </c>
      <c r="N7" s="3">
        <f>SUM(N3:N6)</f>
        <v>971916</v>
      </c>
      <c r="O7" s="3">
        <f t="shared" si="1"/>
        <v>971986</v>
      </c>
    </row>
    <row r="8" spans="1:20" ht="15" thickTop="1" x14ac:dyDescent="0.35">
      <c r="A8" t="s">
        <v>4</v>
      </c>
      <c r="C8" s="34"/>
      <c r="D8" s="33">
        <f>D7-C7</f>
        <v>23186</v>
      </c>
      <c r="E8" s="28">
        <f>E7-D7</f>
        <v>-14552</v>
      </c>
      <c r="F8" s="2">
        <f>F7-E7</f>
        <v>-23274</v>
      </c>
      <c r="G8" s="2">
        <f>G7-F7</f>
        <v>-57011</v>
      </c>
      <c r="H8" s="2">
        <f>H7-G7</f>
        <v>26349</v>
      </c>
      <c r="I8" s="30">
        <f t="shared" ref="I8:O8" si="2">I7-H7</f>
        <v>9062</v>
      </c>
      <c r="J8" s="27">
        <f t="shared" si="2"/>
        <v>36268</v>
      </c>
      <c r="K8" s="27">
        <f t="shared" si="2"/>
        <v>1880</v>
      </c>
      <c r="L8" s="27">
        <f t="shared" si="2"/>
        <v>19160</v>
      </c>
      <c r="M8" s="27">
        <f t="shared" si="2"/>
        <v>34823</v>
      </c>
      <c r="N8" s="27">
        <f t="shared" si="2"/>
        <v>-7013</v>
      </c>
      <c r="O8" s="27">
        <f t="shared" si="2"/>
        <v>70</v>
      </c>
      <c r="Q8">
        <f>20*11000</f>
        <v>220000</v>
      </c>
    </row>
    <row r="9" spans="1:20" x14ac:dyDescent="0.35">
      <c r="C9" s="2"/>
      <c r="O9" s="2">
        <f>SUM(D8:O8)</f>
        <v>48948</v>
      </c>
    </row>
    <row r="10" spans="1:20" x14ac:dyDescent="0.35">
      <c r="C10" s="2"/>
      <c r="O10" s="2">
        <f>O7-C7</f>
        <v>48948</v>
      </c>
    </row>
    <row r="11" spans="1:20" x14ac:dyDescent="0.35">
      <c r="F11">
        <f>2880+720</f>
        <v>3600</v>
      </c>
      <c r="I11">
        <f>2880+720</f>
        <v>3600</v>
      </c>
    </row>
    <row r="12" spans="1:20" x14ac:dyDescent="0.35">
      <c r="F12" t="s">
        <v>75</v>
      </c>
      <c r="I12" t="s">
        <v>76</v>
      </c>
      <c r="P12" s="26"/>
      <c r="Q12" s="26"/>
      <c r="R12" s="14"/>
      <c r="S12">
        <f>2677/12</f>
        <v>223.08333333333334</v>
      </c>
    </row>
    <row r="13" spans="1:20" x14ac:dyDescent="0.35">
      <c r="C13" s="24">
        <v>44561</v>
      </c>
      <c r="D13" s="23" t="s">
        <v>33</v>
      </c>
      <c r="E13" s="24">
        <v>44255</v>
      </c>
      <c r="F13" s="24">
        <v>44286</v>
      </c>
      <c r="G13" s="24">
        <v>44315</v>
      </c>
      <c r="H13" s="24">
        <v>43982</v>
      </c>
      <c r="I13" s="24">
        <v>44377</v>
      </c>
      <c r="J13" s="25" t="s">
        <v>25</v>
      </c>
      <c r="K13" s="25" t="s">
        <v>26</v>
      </c>
      <c r="L13" s="24">
        <v>44469</v>
      </c>
      <c r="M13" s="24">
        <v>44134</v>
      </c>
      <c r="N13" s="24">
        <v>44165</v>
      </c>
      <c r="O13" s="24">
        <v>44561</v>
      </c>
      <c r="P13" s="2" t="s">
        <v>72</v>
      </c>
      <c r="Q13" s="2"/>
      <c r="R13" s="2"/>
    </row>
    <row r="14" spans="1:20" x14ac:dyDescent="0.35">
      <c r="A14" t="s">
        <v>46</v>
      </c>
      <c r="C14" s="2">
        <v>76863</v>
      </c>
      <c r="D14" s="2">
        <v>79240</v>
      </c>
      <c r="E14" s="2">
        <v>78678</v>
      </c>
      <c r="F14" s="2">
        <v>77073</v>
      </c>
      <c r="G14" s="2">
        <v>78498</v>
      </c>
      <c r="H14" s="2">
        <v>81311</v>
      </c>
      <c r="I14" s="2">
        <v>85382</v>
      </c>
      <c r="J14" s="2">
        <v>87378</v>
      </c>
      <c r="K14" s="2">
        <v>88841</v>
      </c>
      <c r="L14" s="2">
        <v>90639</v>
      </c>
      <c r="M14" s="2">
        <v>93054</v>
      </c>
      <c r="N14" s="2">
        <v>92848</v>
      </c>
      <c r="O14" s="2">
        <v>93472</v>
      </c>
      <c r="P14" s="2"/>
      <c r="Q14" s="2"/>
      <c r="R14" s="2"/>
    </row>
    <row r="15" spans="1:20" x14ac:dyDescent="0.35">
      <c r="A15" t="s">
        <v>21</v>
      </c>
      <c r="C15" s="32"/>
      <c r="D15" s="2"/>
      <c r="E15" s="2"/>
      <c r="F15" s="2"/>
      <c r="G15" s="2"/>
      <c r="H15" s="2"/>
      <c r="I15" s="2"/>
      <c r="J15" s="2"/>
      <c r="K15" s="2"/>
      <c r="L15" s="31"/>
      <c r="M15" s="31"/>
      <c r="N15" s="31"/>
      <c r="O15" s="32"/>
      <c r="P15" s="2"/>
      <c r="Q15" s="2"/>
      <c r="R15" s="2"/>
    </row>
    <row r="16" spans="1:20" x14ac:dyDescent="0.35">
      <c r="A16" t="s">
        <v>17</v>
      </c>
      <c r="P16" s="26" t="s">
        <v>35</v>
      </c>
      <c r="Q16" s="26"/>
      <c r="R16" s="14">
        <v>2025</v>
      </c>
    </row>
    <row r="17" spans="1:21" x14ac:dyDescent="0.35">
      <c r="A17" t="s">
        <v>16</v>
      </c>
      <c r="P17" t="s">
        <v>37</v>
      </c>
      <c r="R17">
        <v>2067</v>
      </c>
      <c r="S17" t="s">
        <v>36</v>
      </c>
    </row>
    <row r="18" spans="1:21" x14ac:dyDescent="0.35">
      <c r="A18" t="s">
        <v>18</v>
      </c>
      <c r="C18" s="2">
        <f>SUM(C14:C17)</f>
        <v>76863</v>
      </c>
      <c r="D18" s="2">
        <f t="shared" ref="D18:O18" si="3">SUM(D14:D17)</f>
        <v>79240</v>
      </c>
      <c r="E18" s="2">
        <f t="shared" si="3"/>
        <v>78678</v>
      </c>
      <c r="F18" s="2">
        <f t="shared" si="3"/>
        <v>77073</v>
      </c>
      <c r="G18" s="2">
        <f t="shared" si="3"/>
        <v>78498</v>
      </c>
      <c r="H18" s="2">
        <f t="shared" si="3"/>
        <v>81311</v>
      </c>
      <c r="I18" s="2">
        <f t="shared" si="3"/>
        <v>85382</v>
      </c>
      <c r="J18" s="2">
        <f t="shared" si="3"/>
        <v>87378</v>
      </c>
      <c r="K18" s="2">
        <f t="shared" si="3"/>
        <v>88841</v>
      </c>
      <c r="L18" s="2">
        <f t="shared" si="3"/>
        <v>90639</v>
      </c>
      <c r="M18" s="2">
        <f t="shared" si="3"/>
        <v>93054</v>
      </c>
      <c r="N18" s="2">
        <f t="shared" si="3"/>
        <v>92848</v>
      </c>
      <c r="O18" s="2">
        <f t="shared" si="3"/>
        <v>93472</v>
      </c>
      <c r="P18" s="2">
        <f>O18-C18</f>
        <v>16609</v>
      </c>
      <c r="T18">
        <f>O21/C18*100</f>
        <v>12.241260424391449</v>
      </c>
    </row>
    <row r="19" spans="1:21" x14ac:dyDescent="0.35">
      <c r="C19" s="2">
        <f t="shared" ref="C19:O19" si="4">C18-B18</f>
        <v>76863</v>
      </c>
      <c r="D19" s="2">
        <f>D18-C18</f>
        <v>2377</v>
      </c>
      <c r="E19" s="2">
        <f t="shared" si="4"/>
        <v>-562</v>
      </c>
      <c r="F19" s="2">
        <f t="shared" si="4"/>
        <v>-1605</v>
      </c>
      <c r="G19" s="2">
        <f t="shared" si="4"/>
        <v>1425</v>
      </c>
      <c r="H19" s="2">
        <f t="shared" si="4"/>
        <v>2813</v>
      </c>
      <c r="I19" s="2">
        <f t="shared" si="4"/>
        <v>4071</v>
      </c>
      <c r="J19" s="2">
        <f t="shared" si="4"/>
        <v>1996</v>
      </c>
      <c r="K19" s="2">
        <f t="shared" si="4"/>
        <v>1463</v>
      </c>
      <c r="L19" s="2">
        <f t="shared" si="4"/>
        <v>1798</v>
      </c>
      <c r="M19" s="2">
        <f t="shared" si="4"/>
        <v>2415</v>
      </c>
      <c r="N19" s="2">
        <f t="shared" si="4"/>
        <v>-206</v>
      </c>
      <c r="O19" s="2">
        <f t="shared" si="4"/>
        <v>624</v>
      </c>
    </row>
    <row r="20" spans="1:21" x14ac:dyDescent="0.35">
      <c r="O20" s="2">
        <f>SUM(D19:O19)</f>
        <v>16609</v>
      </c>
    </row>
    <row r="21" spans="1:21" x14ac:dyDescent="0.35">
      <c r="O21" s="2">
        <f>O20-(F11+I11)</f>
        <v>9409</v>
      </c>
      <c r="P21" t="s">
        <v>78</v>
      </c>
    </row>
    <row r="22" spans="1:21" x14ac:dyDescent="0.35">
      <c r="D22">
        <v>2880</v>
      </c>
    </row>
    <row r="23" spans="1:21" x14ac:dyDescent="0.35">
      <c r="D23">
        <v>720</v>
      </c>
      <c r="Q23" cm="1">
        <f t="array" ref="Q23:Q24">'[1]28-04-23'!$G$4:$G$5</f>
        <v>56077</v>
      </c>
      <c r="T23" t="s">
        <v>39</v>
      </c>
    </row>
    <row r="24" spans="1:21" x14ac:dyDescent="0.35">
      <c r="Q24">
        <v>56077</v>
      </c>
      <c r="T24" t="s">
        <v>40</v>
      </c>
      <c r="U24">
        <v>1072000</v>
      </c>
    </row>
    <row r="25" spans="1:21" x14ac:dyDescent="0.35">
      <c r="Q25">
        <f>SUM(_xlfn.ANCHORARRAY(Q23))</f>
        <v>112154</v>
      </c>
      <c r="T25" t="s">
        <v>41</v>
      </c>
      <c r="U25">
        <v>44000</v>
      </c>
    </row>
    <row r="26" spans="1:21" x14ac:dyDescent="0.35">
      <c r="T26" t="s">
        <v>42</v>
      </c>
    </row>
    <row r="27" spans="1:21" x14ac:dyDescent="0.35">
      <c r="M27">
        <v>2880</v>
      </c>
    </row>
    <row r="28" spans="1:21" x14ac:dyDescent="0.35">
      <c r="L28" t="s">
        <v>69</v>
      </c>
      <c r="M28">
        <v>720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66521-5227-469C-879B-8E79CD673AA9}">
  <dimension ref="A2:U26"/>
  <sheetViews>
    <sheetView zoomScale="85" zoomScaleNormal="85" workbookViewId="0">
      <selection activeCell="O8" sqref="O8"/>
    </sheetView>
  </sheetViews>
  <sheetFormatPr defaultRowHeight="14.5" x14ac:dyDescent="0.35"/>
  <cols>
    <col min="1" max="1" width="25.36328125" bestFit="1" customWidth="1"/>
    <col min="2" max="2" width="0" hidden="1" customWidth="1"/>
    <col min="4" max="4" width="9.36328125" bestFit="1" customWidth="1"/>
    <col min="5" max="5" width="9.54296875" bestFit="1" customWidth="1"/>
    <col min="6" max="6" width="9.36328125" bestFit="1" customWidth="1"/>
    <col min="7" max="13" width="9.54296875" bestFit="1" customWidth="1"/>
    <col min="15" max="15" width="9.26953125" customWidth="1"/>
  </cols>
  <sheetData>
    <row r="2" spans="1:19" ht="15" thickBot="1" x14ac:dyDescent="0.4">
      <c r="B2" t="s">
        <v>34</v>
      </c>
      <c r="C2" t="s">
        <v>48</v>
      </c>
      <c r="D2" s="24" t="s">
        <v>33</v>
      </c>
      <c r="E2" s="24">
        <v>44255</v>
      </c>
      <c r="F2" s="24" t="s">
        <v>49</v>
      </c>
      <c r="G2" s="24">
        <v>44315</v>
      </c>
      <c r="H2" s="24">
        <v>43982</v>
      </c>
      <c r="I2" s="24">
        <v>44377</v>
      </c>
      <c r="J2" s="25" t="s">
        <v>25</v>
      </c>
      <c r="K2" s="25" t="s">
        <v>26</v>
      </c>
      <c r="L2" s="24">
        <v>44469</v>
      </c>
      <c r="M2" s="24">
        <v>44134</v>
      </c>
      <c r="N2" s="24">
        <v>44165</v>
      </c>
      <c r="O2" s="24">
        <v>44561</v>
      </c>
    </row>
    <row r="3" spans="1:19" x14ac:dyDescent="0.35">
      <c r="A3" s="21" t="s">
        <v>45</v>
      </c>
      <c r="B3">
        <v>135</v>
      </c>
      <c r="C3" s="2">
        <v>120730</v>
      </c>
      <c r="D3" s="2">
        <v>120730</v>
      </c>
      <c r="E3" s="2">
        <v>120493</v>
      </c>
      <c r="F3" s="33">
        <v>123537</v>
      </c>
      <c r="G3" s="2">
        <v>122010</v>
      </c>
      <c r="H3" s="2">
        <v>123380</v>
      </c>
      <c r="I3" s="2">
        <v>124774</v>
      </c>
      <c r="J3" s="2">
        <v>125938</v>
      </c>
      <c r="K3" s="2">
        <v>127538</v>
      </c>
      <c r="L3" s="2">
        <v>129104</v>
      </c>
      <c r="M3" s="2">
        <v>128470</v>
      </c>
      <c r="N3">
        <v>88702</v>
      </c>
      <c r="O3" s="2">
        <v>88683</v>
      </c>
      <c r="P3" s="2">
        <f>O3-C3</f>
        <v>-32047</v>
      </c>
      <c r="Q3" s="2"/>
      <c r="R3">
        <f>C3/D3</f>
        <v>1</v>
      </c>
    </row>
    <row r="4" spans="1:19" ht="15" thickBot="1" x14ac:dyDescent="0.4">
      <c r="A4" s="22" t="s">
        <v>62</v>
      </c>
      <c r="B4">
        <v>65</v>
      </c>
      <c r="C4" s="2">
        <v>61337</v>
      </c>
      <c r="D4" s="2">
        <v>60595</v>
      </c>
      <c r="E4" s="2">
        <v>61406</v>
      </c>
      <c r="F4" s="33">
        <v>62887</v>
      </c>
      <c r="G4" s="2">
        <v>62095</v>
      </c>
      <c r="H4" s="2">
        <v>62641</v>
      </c>
      <c r="I4" s="2">
        <v>63378</v>
      </c>
      <c r="J4" s="2">
        <v>63502</v>
      </c>
      <c r="K4" s="2">
        <v>64368</v>
      </c>
      <c r="L4" s="2">
        <v>64881</v>
      </c>
      <c r="M4" s="2">
        <v>64684</v>
      </c>
      <c r="N4" s="2">
        <v>49258</v>
      </c>
      <c r="O4" s="2">
        <v>48475</v>
      </c>
      <c r="P4" s="2">
        <f t="shared" ref="P4:P5" si="0">O4-C4</f>
        <v>-12862</v>
      </c>
      <c r="Q4" s="2"/>
      <c r="R4">
        <f t="shared" ref="R4:R6" si="1">C4/D4</f>
        <v>1.0122452347553428</v>
      </c>
    </row>
    <row r="5" spans="1:19" x14ac:dyDescent="0.35">
      <c r="A5" t="s">
        <v>43</v>
      </c>
      <c r="B5">
        <v>650</v>
      </c>
      <c r="C5" s="2">
        <v>591338</v>
      </c>
      <c r="D5" s="2">
        <v>595339</v>
      </c>
      <c r="E5" s="2">
        <v>602316</v>
      </c>
      <c r="F5" s="33">
        <v>657019</v>
      </c>
      <c r="G5" s="2">
        <v>655057</v>
      </c>
      <c r="H5" s="2">
        <v>662090</v>
      </c>
      <c r="I5" s="2">
        <v>674023</v>
      </c>
      <c r="J5" s="2">
        <v>677769</v>
      </c>
      <c r="K5" s="2">
        <v>697785</v>
      </c>
      <c r="L5" s="2">
        <v>713000</v>
      </c>
      <c r="M5" s="2">
        <f>536443+178902</f>
        <v>715345</v>
      </c>
      <c r="N5" s="2">
        <v>551179</v>
      </c>
      <c r="O5" s="2">
        <v>548808</v>
      </c>
      <c r="P5" s="2">
        <f t="shared" si="0"/>
        <v>-42530</v>
      </c>
      <c r="Q5" s="2">
        <f>2500*12</f>
        <v>30000</v>
      </c>
      <c r="R5">
        <f t="shared" si="1"/>
        <v>0.9932794592660652</v>
      </c>
    </row>
    <row r="6" spans="1:19" x14ac:dyDescent="0.35">
      <c r="A6" t="s">
        <v>3</v>
      </c>
      <c r="B6">
        <v>250</v>
      </c>
      <c r="C6" s="33">
        <v>237072</v>
      </c>
      <c r="D6" s="33">
        <v>237072</v>
      </c>
      <c r="E6" s="33">
        <v>237072</v>
      </c>
      <c r="F6" s="33">
        <v>237072</v>
      </c>
      <c r="G6" s="33">
        <v>237072</v>
      </c>
      <c r="H6" s="33">
        <v>237072</v>
      </c>
      <c r="I6" s="33">
        <v>237072</v>
      </c>
      <c r="J6" s="33">
        <v>237072</v>
      </c>
      <c r="K6" s="33">
        <v>237072</v>
      </c>
      <c r="L6" s="33">
        <v>237072</v>
      </c>
      <c r="M6" s="33">
        <v>237072</v>
      </c>
      <c r="N6" s="33">
        <v>237072</v>
      </c>
      <c r="O6" s="33">
        <v>237072</v>
      </c>
      <c r="R6">
        <f t="shared" si="1"/>
        <v>1</v>
      </c>
    </row>
    <row r="7" spans="1:19" ht="15" thickBot="1" x14ac:dyDescent="0.4">
      <c r="B7">
        <f>SUM(B3:B6)</f>
        <v>1100</v>
      </c>
      <c r="C7" s="3">
        <f t="shared" ref="C7:O7" si="2">SUM(C3:C6)</f>
        <v>1010477</v>
      </c>
      <c r="D7" s="3">
        <f t="shared" si="2"/>
        <v>1013736</v>
      </c>
      <c r="E7" s="3">
        <f t="shared" si="2"/>
        <v>1021287</v>
      </c>
      <c r="F7" s="3">
        <f t="shared" si="2"/>
        <v>1080515</v>
      </c>
      <c r="G7" s="3">
        <f t="shared" si="2"/>
        <v>1076234</v>
      </c>
      <c r="H7" s="3">
        <f t="shared" si="2"/>
        <v>1085183</v>
      </c>
      <c r="I7" s="3">
        <f t="shared" si="2"/>
        <v>1099247</v>
      </c>
      <c r="J7" s="3">
        <f t="shared" si="2"/>
        <v>1104281</v>
      </c>
      <c r="K7" s="3">
        <f t="shared" si="2"/>
        <v>1126763</v>
      </c>
      <c r="L7" s="3">
        <f t="shared" si="2"/>
        <v>1144057</v>
      </c>
      <c r="M7" s="3">
        <f t="shared" si="2"/>
        <v>1145571</v>
      </c>
      <c r="N7" s="3">
        <f>SUM(N3:N6)</f>
        <v>926211</v>
      </c>
      <c r="O7" s="3">
        <f t="shared" si="2"/>
        <v>923038</v>
      </c>
    </row>
    <row r="8" spans="1:19" ht="15" thickTop="1" x14ac:dyDescent="0.35">
      <c r="A8" t="s">
        <v>4</v>
      </c>
      <c r="D8" s="33">
        <f>D7-C7</f>
        <v>3259</v>
      </c>
      <c r="E8" s="28">
        <f>E7-D7</f>
        <v>7551</v>
      </c>
      <c r="F8" s="2">
        <f>F7-E7</f>
        <v>59228</v>
      </c>
      <c r="G8" s="2">
        <f>G7-F7</f>
        <v>-4281</v>
      </c>
      <c r="H8" s="2">
        <f>H7-G7</f>
        <v>8949</v>
      </c>
      <c r="I8" s="30">
        <f t="shared" ref="I8:N8" si="3">I7-H7</f>
        <v>14064</v>
      </c>
      <c r="J8" s="27">
        <f t="shared" si="3"/>
        <v>5034</v>
      </c>
      <c r="K8" s="27">
        <f t="shared" si="3"/>
        <v>22482</v>
      </c>
      <c r="L8" s="27">
        <f t="shared" si="3"/>
        <v>17294</v>
      </c>
      <c r="M8" s="29">
        <f t="shared" si="3"/>
        <v>1514</v>
      </c>
      <c r="N8" s="27">
        <f t="shared" si="3"/>
        <v>-219360</v>
      </c>
      <c r="O8" s="34">
        <f>O7-D7</f>
        <v>-90698</v>
      </c>
      <c r="Q8">
        <f>20*11000</f>
        <v>220000</v>
      </c>
    </row>
    <row r="9" spans="1:19" x14ac:dyDescent="0.35">
      <c r="O9" s="2">
        <f>SUM(D8:O8)</f>
        <v>-174964</v>
      </c>
    </row>
    <row r="10" spans="1:19" x14ac:dyDescent="0.35">
      <c r="O10" s="2">
        <f>O7-D7</f>
        <v>-90698</v>
      </c>
    </row>
    <row r="12" spans="1:19" x14ac:dyDescent="0.35">
      <c r="P12" s="26"/>
      <c r="Q12" s="26"/>
      <c r="R12" s="14"/>
      <c r="S12">
        <f>2677/12</f>
        <v>223.08333333333334</v>
      </c>
    </row>
    <row r="13" spans="1:19" x14ac:dyDescent="0.35">
      <c r="C13" t="s">
        <v>38</v>
      </c>
      <c r="D13" s="23" t="s">
        <v>33</v>
      </c>
      <c r="E13" s="24">
        <v>44255</v>
      </c>
      <c r="F13" s="24">
        <v>44286</v>
      </c>
      <c r="G13" s="24">
        <v>44315</v>
      </c>
      <c r="H13" s="24">
        <v>43982</v>
      </c>
      <c r="I13" s="24">
        <v>44377</v>
      </c>
      <c r="J13" s="25" t="s">
        <v>25</v>
      </c>
      <c r="K13" s="25" t="s">
        <v>26</v>
      </c>
      <c r="L13" s="24">
        <v>44469</v>
      </c>
      <c r="M13" s="24">
        <v>44134</v>
      </c>
      <c r="N13" s="24">
        <v>44165</v>
      </c>
      <c r="O13" s="24">
        <v>44561</v>
      </c>
      <c r="P13" s="2"/>
      <c r="Q13" s="2"/>
      <c r="R13" s="2"/>
    </row>
    <row r="14" spans="1:19" x14ac:dyDescent="0.35">
      <c r="A14" t="s">
        <v>46</v>
      </c>
      <c r="C14" s="2">
        <v>70331</v>
      </c>
      <c r="D14" s="2">
        <v>70360</v>
      </c>
      <c r="E14" s="2">
        <v>71304</v>
      </c>
      <c r="F14" s="2">
        <v>73073</v>
      </c>
      <c r="G14" s="2">
        <v>72982</v>
      </c>
      <c r="H14" s="2">
        <v>74336</v>
      </c>
      <c r="I14" s="2">
        <v>75211</v>
      </c>
      <c r="J14" s="2">
        <v>75357</v>
      </c>
      <c r="K14" s="2">
        <v>76384</v>
      </c>
      <c r="L14" s="2">
        <v>76994</v>
      </c>
      <c r="M14" s="2">
        <v>76761</v>
      </c>
      <c r="N14" s="2">
        <v>78100</v>
      </c>
      <c r="O14" s="2">
        <v>76863</v>
      </c>
      <c r="P14" s="2"/>
      <c r="Q14" s="2"/>
      <c r="R14" s="2"/>
    </row>
    <row r="15" spans="1:19" x14ac:dyDescent="0.35">
      <c r="A15" t="s">
        <v>21</v>
      </c>
      <c r="C15" s="32"/>
      <c r="D15" s="2"/>
      <c r="E15" s="2"/>
      <c r="F15" s="2"/>
      <c r="G15" s="2"/>
      <c r="H15" s="2"/>
      <c r="I15" s="2"/>
      <c r="J15" s="2"/>
      <c r="K15" s="2"/>
      <c r="L15" s="31"/>
      <c r="M15" s="31"/>
      <c r="N15" s="31"/>
      <c r="O15" s="32"/>
      <c r="P15" s="2"/>
      <c r="Q15" s="2"/>
      <c r="R15" s="2"/>
    </row>
    <row r="16" spans="1:19" x14ac:dyDescent="0.35">
      <c r="A16" t="s">
        <v>17</v>
      </c>
      <c r="P16" s="26" t="s">
        <v>35</v>
      </c>
      <c r="Q16" s="26"/>
      <c r="R16" s="14">
        <v>2025</v>
      </c>
    </row>
    <row r="17" spans="1:21" x14ac:dyDescent="0.35">
      <c r="A17" t="s">
        <v>16</v>
      </c>
      <c r="P17" t="s">
        <v>37</v>
      </c>
      <c r="R17">
        <v>2067</v>
      </c>
      <c r="S17" t="s">
        <v>36</v>
      </c>
    </row>
    <row r="18" spans="1:21" x14ac:dyDescent="0.35">
      <c r="A18" t="s">
        <v>18</v>
      </c>
      <c r="C18" s="2">
        <f>SUM(C14:C17)</f>
        <v>70331</v>
      </c>
      <c r="D18" s="2">
        <f t="shared" ref="D18:O18" si="4">SUM(D14:D17)</f>
        <v>70360</v>
      </c>
      <c r="E18" s="2">
        <f t="shared" si="4"/>
        <v>71304</v>
      </c>
      <c r="F18" s="2">
        <f t="shared" si="4"/>
        <v>73073</v>
      </c>
      <c r="G18" s="2">
        <f t="shared" si="4"/>
        <v>72982</v>
      </c>
      <c r="H18" s="2">
        <f t="shared" si="4"/>
        <v>74336</v>
      </c>
      <c r="I18" s="2">
        <f t="shared" si="4"/>
        <v>75211</v>
      </c>
      <c r="J18" s="2">
        <f t="shared" si="4"/>
        <v>75357</v>
      </c>
      <c r="K18" s="2">
        <f t="shared" si="4"/>
        <v>76384</v>
      </c>
      <c r="L18" s="2">
        <v>76994</v>
      </c>
      <c r="M18" s="2">
        <f t="shared" si="4"/>
        <v>76761</v>
      </c>
      <c r="N18" s="2">
        <f t="shared" si="4"/>
        <v>78100</v>
      </c>
      <c r="O18" s="2">
        <f t="shared" si="4"/>
        <v>76863</v>
      </c>
      <c r="P18" s="2">
        <f>O18-C18</f>
        <v>6532</v>
      </c>
    </row>
    <row r="19" spans="1:21" x14ac:dyDescent="0.35">
      <c r="C19" s="2">
        <f t="shared" ref="C19:O19" si="5">C18-B18</f>
        <v>70331</v>
      </c>
      <c r="D19" s="2">
        <f>D18-C18</f>
        <v>29</v>
      </c>
      <c r="E19" s="2">
        <f t="shared" si="5"/>
        <v>944</v>
      </c>
      <c r="F19" s="2">
        <f t="shared" si="5"/>
        <v>1769</v>
      </c>
      <c r="G19" s="2">
        <f t="shared" si="5"/>
        <v>-91</v>
      </c>
      <c r="H19" s="2">
        <f t="shared" si="5"/>
        <v>1354</v>
      </c>
      <c r="I19" s="2">
        <f t="shared" si="5"/>
        <v>875</v>
      </c>
      <c r="J19" s="2">
        <f t="shared" si="5"/>
        <v>146</v>
      </c>
      <c r="K19" s="2">
        <f t="shared" si="5"/>
        <v>1027</v>
      </c>
      <c r="L19" s="2">
        <f t="shared" si="5"/>
        <v>610</v>
      </c>
      <c r="M19" s="2">
        <f t="shared" si="5"/>
        <v>-233</v>
      </c>
      <c r="N19" s="2">
        <f t="shared" si="5"/>
        <v>1339</v>
      </c>
      <c r="O19" s="2">
        <f t="shared" si="5"/>
        <v>-1237</v>
      </c>
    </row>
    <row r="22" spans="1:21" x14ac:dyDescent="0.35">
      <c r="D22">
        <v>2880</v>
      </c>
    </row>
    <row r="23" spans="1:21" x14ac:dyDescent="0.35">
      <c r="D23">
        <v>720</v>
      </c>
      <c r="Q23" cm="1">
        <f t="array" ref="Q23:Q24">'[1]28-04-23'!$G$4:$G$5</f>
        <v>56077</v>
      </c>
      <c r="T23" t="s">
        <v>39</v>
      </c>
    </row>
    <row r="24" spans="1:21" x14ac:dyDescent="0.35">
      <c r="Q24">
        <v>56077</v>
      </c>
      <c r="T24" t="s">
        <v>40</v>
      </c>
      <c r="U24">
        <v>1072000</v>
      </c>
    </row>
    <row r="25" spans="1:21" x14ac:dyDescent="0.35">
      <c r="Q25">
        <f>SUM(_xlfn.ANCHORARRAY(Q23))</f>
        <v>112154</v>
      </c>
      <c r="T25" t="s">
        <v>41</v>
      </c>
      <c r="U25">
        <v>44000</v>
      </c>
    </row>
    <row r="26" spans="1:21" x14ac:dyDescent="0.35">
      <c r="T26" t="s">
        <v>42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50456-831B-4065-80D7-463F4F7251A5}">
  <dimension ref="A2:U26"/>
  <sheetViews>
    <sheetView workbookViewId="0">
      <selection sqref="A1:XFD1048576"/>
    </sheetView>
  </sheetViews>
  <sheetFormatPr defaultRowHeight="14.5" x14ac:dyDescent="0.35"/>
  <cols>
    <col min="1" max="1" width="25.36328125" bestFit="1" customWidth="1"/>
    <col min="2" max="2" width="0" hidden="1" customWidth="1"/>
    <col min="4" max="5" width="8.7265625" customWidth="1"/>
    <col min="15" max="15" width="9.26953125" customWidth="1"/>
  </cols>
  <sheetData>
    <row r="2" spans="1:19" ht="15" thickBot="1" x14ac:dyDescent="0.4">
      <c r="B2" t="s">
        <v>34</v>
      </c>
      <c r="C2" t="s">
        <v>38</v>
      </c>
      <c r="D2" s="23" t="s">
        <v>33</v>
      </c>
      <c r="E2" s="24">
        <v>44255</v>
      </c>
      <c r="F2" s="24" t="s">
        <v>47</v>
      </c>
      <c r="G2" s="24">
        <v>44315</v>
      </c>
      <c r="H2" s="24">
        <v>43982</v>
      </c>
      <c r="I2" s="24">
        <v>44377</v>
      </c>
      <c r="J2" s="25" t="s">
        <v>25</v>
      </c>
      <c r="K2" s="25" t="s">
        <v>26</v>
      </c>
      <c r="L2" s="24">
        <v>44469</v>
      </c>
      <c r="M2" s="24">
        <v>44134</v>
      </c>
      <c r="N2" s="24">
        <v>44165</v>
      </c>
      <c r="O2" s="24">
        <v>44561</v>
      </c>
    </row>
    <row r="3" spans="1:19" x14ac:dyDescent="0.35">
      <c r="A3" s="21" t="s">
        <v>45</v>
      </c>
      <c r="B3">
        <v>135</v>
      </c>
      <c r="C3" s="2">
        <v>107970</v>
      </c>
      <c r="D3" s="2">
        <v>113191</v>
      </c>
      <c r="E3" s="2">
        <v>111385</v>
      </c>
      <c r="F3" s="33">
        <v>111753</v>
      </c>
      <c r="G3" s="2">
        <v>112613</v>
      </c>
      <c r="H3" s="2">
        <v>112311</v>
      </c>
      <c r="I3" s="2">
        <v>114199</v>
      </c>
      <c r="J3" s="2">
        <v>117146</v>
      </c>
      <c r="K3" s="2">
        <v>115606</v>
      </c>
      <c r="L3" s="2">
        <v>113282</v>
      </c>
      <c r="M3" s="2">
        <v>110747</v>
      </c>
      <c r="N3" s="2">
        <v>116119</v>
      </c>
      <c r="O3" s="2">
        <v>120730</v>
      </c>
      <c r="P3" s="2">
        <f>O3-C3</f>
        <v>12760</v>
      </c>
      <c r="Q3" s="2"/>
      <c r="R3">
        <f>C3/D3</f>
        <v>0.953874424645069</v>
      </c>
    </row>
    <row r="4" spans="1:19" ht="15" thickBot="1" x14ac:dyDescent="0.4">
      <c r="A4" s="22" t="s">
        <v>44</v>
      </c>
      <c r="B4">
        <v>65</v>
      </c>
      <c r="C4" s="2">
        <v>57316</v>
      </c>
      <c r="D4" s="2">
        <v>59190</v>
      </c>
      <c r="E4" s="2">
        <v>58641</v>
      </c>
      <c r="F4" s="33">
        <v>58430</v>
      </c>
      <c r="G4" s="2">
        <v>58601</v>
      </c>
      <c r="H4" s="2">
        <v>57966</v>
      </c>
      <c r="I4" s="2">
        <v>58534</v>
      </c>
      <c r="J4" s="2">
        <v>59201</v>
      </c>
      <c r="K4" s="2">
        <v>58513</v>
      </c>
      <c r="L4" s="2">
        <v>58130</v>
      </c>
      <c r="M4" s="2">
        <v>57186</v>
      </c>
      <c r="N4" s="2">
        <v>59072</v>
      </c>
      <c r="O4" s="2">
        <v>61337</v>
      </c>
      <c r="P4" s="2">
        <f t="shared" ref="P4:P5" si="0">O4-C4</f>
        <v>4021</v>
      </c>
      <c r="Q4" s="2"/>
      <c r="R4">
        <f t="shared" ref="R4:R6" si="1">C4/D4</f>
        <v>0.96833924649434022</v>
      </c>
    </row>
    <row r="5" spans="1:19" x14ac:dyDescent="0.35">
      <c r="A5" t="s">
        <v>43</v>
      </c>
      <c r="B5">
        <v>650</v>
      </c>
      <c r="C5" s="2">
        <v>507766</v>
      </c>
      <c r="D5" s="2">
        <v>525713</v>
      </c>
      <c r="E5" s="2">
        <v>523480</v>
      </c>
      <c r="F5" s="33">
        <v>527486</v>
      </c>
      <c r="G5" s="2">
        <v>533828</v>
      </c>
      <c r="H5" s="2">
        <v>534759</v>
      </c>
      <c r="I5" s="2">
        <v>540686</v>
      </c>
      <c r="J5" s="2">
        <v>550077</v>
      </c>
      <c r="K5" s="2">
        <v>551782</v>
      </c>
      <c r="L5" s="2">
        <v>552011</v>
      </c>
      <c r="M5" s="2">
        <v>549919</v>
      </c>
      <c r="N5" s="2">
        <v>571077</v>
      </c>
      <c r="O5" s="2">
        <v>591338</v>
      </c>
      <c r="P5" s="2">
        <f t="shared" si="0"/>
        <v>83572</v>
      </c>
      <c r="Q5" s="2">
        <f>2500*12</f>
        <v>30000</v>
      </c>
      <c r="R5">
        <f t="shared" si="1"/>
        <v>0.96586160129195964</v>
      </c>
    </row>
    <row r="6" spans="1:19" x14ac:dyDescent="0.35">
      <c r="A6" t="s">
        <v>3</v>
      </c>
      <c r="B6">
        <v>250</v>
      </c>
      <c r="C6" s="2">
        <v>237072</v>
      </c>
      <c r="D6" s="2">
        <v>237072</v>
      </c>
      <c r="E6" s="2">
        <v>237072</v>
      </c>
      <c r="F6" s="33">
        <v>237072</v>
      </c>
      <c r="G6" s="33">
        <v>237072</v>
      </c>
      <c r="H6" s="33">
        <v>237072</v>
      </c>
      <c r="I6" s="33">
        <v>237072</v>
      </c>
      <c r="J6" s="33">
        <v>237072</v>
      </c>
      <c r="K6" s="33">
        <v>237072</v>
      </c>
      <c r="L6" s="33">
        <v>237072</v>
      </c>
      <c r="M6" s="33">
        <v>237072</v>
      </c>
      <c r="N6" s="33">
        <v>237072</v>
      </c>
      <c r="O6" s="33">
        <v>237072</v>
      </c>
      <c r="R6">
        <f t="shared" si="1"/>
        <v>1</v>
      </c>
    </row>
    <row r="7" spans="1:19" ht="15" thickBot="1" x14ac:dyDescent="0.4">
      <c r="B7">
        <f>SUM(B3:B6)</f>
        <v>1100</v>
      </c>
      <c r="C7" s="3">
        <f t="shared" ref="C7" si="2">SUM(C3:C6)</f>
        <v>910124</v>
      </c>
      <c r="D7" s="3">
        <f t="shared" ref="D7:O7" si="3">SUM(D3:D6)</f>
        <v>935166</v>
      </c>
      <c r="E7" s="3">
        <f t="shared" si="3"/>
        <v>930578</v>
      </c>
      <c r="F7" s="3">
        <f t="shared" si="3"/>
        <v>934741</v>
      </c>
      <c r="G7" s="3">
        <f t="shared" si="3"/>
        <v>942114</v>
      </c>
      <c r="H7" s="3">
        <f t="shared" si="3"/>
        <v>942108</v>
      </c>
      <c r="I7" s="3">
        <f t="shared" si="3"/>
        <v>950491</v>
      </c>
      <c r="J7" s="3">
        <f t="shared" si="3"/>
        <v>963496</v>
      </c>
      <c r="K7" s="3">
        <f t="shared" si="3"/>
        <v>962973</v>
      </c>
      <c r="L7" s="3">
        <f t="shared" si="3"/>
        <v>960495</v>
      </c>
      <c r="M7" s="3">
        <f t="shared" si="3"/>
        <v>954924</v>
      </c>
      <c r="N7" s="3">
        <f t="shared" si="3"/>
        <v>983340</v>
      </c>
      <c r="O7" s="3">
        <f t="shared" si="3"/>
        <v>1010477</v>
      </c>
    </row>
    <row r="8" spans="1:19" ht="15" thickTop="1" x14ac:dyDescent="0.35">
      <c r="A8" t="s">
        <v>4</v>
      </c>
      <c r="D8" s="33">
        <f>D7-C7</f>
        <v>25042</v>
      </c>
      <c r="E8" s="28">
        <f>E7-D7</f>
        <v>-4588</v>
      </c>
      <c r="F8" s="2">
        <f>F7-E7</f>
        <v>4163</v>
      </c>
      <c r="G8" s="2">
        <f>G7-F7</f>
        <v>7373</v>
      </c>
      <c r="H8" s="29">
        <f>H7-G7</f>
        <v>-6</v>
      </c>
      <c r="I8" s="30">
        <f t="shared" ref="I8:N8" si="4">I7-H7</f>
        <v>8383</v>
      </c>
      <c r="J8" s="27">
        <f t="shared" si="4"/>
        <v>13005</v>
      </c>
      <c r="K8" s="29">
        <f t="shared" si="4"/>
        <v>-523</v>
      </c>
      <c r="L8" s="29">
        <f t="shared" si="4"/>
        <v>-2478</v>
      </c>
      <c r="M8" s="29">
        <f t="shared" si="4"/>
        <v>-5571</v>
      </c>
      <c r="N8" s="27">
        <f t="shared" si="4"/>
        <v>28416</v>
      </c>
      <c r="O8" s="34">
        <f>O7-D7</f>
        <v>75311</v>
      </c>
      <c r="Q8">
        <f>20*11000</f>
        <v>220000</v>
      </c>
    </row>
    <row r="9" spans="1:19" x14ac:dyDescent="0.35">
      <c r="O9" s="2">
        <f>SUM(D8:O8)</f>
        <v>148527</v>
      </c>
    </row>
    <row r="10" spans="1:19" x14ac:dyDescent="0.35">
      <c r="O10" s="2">
        <f>O7-D7</f>
        <v>75311</v>
      </c>
    </row>
    <row r="12" spans="1:19" x14ac:dyDescent="0.35">
      <c r="P12" s="26"/>
      <c r="Q12" s="26"/>
      <c r="R12" s="14"/>
      <c r="S12">
        <f>2677/12</f>
        <v>223.08333333333334</v>
      </c>
    </row>
    <row r="13" spans="1:19" x14ac:dyDescent="0.35">
      <c r="C13" t="s">
        <v>38</v>
      </c>
      <c r="D13" s="23" t="s">
        <v>33</v>
      </c>
      <c r="E13" s="24">
        <v>44255</v>
      </c>
      <c r="F13" s="24">
        <v>44286</v>
      </c>
      <c r="G13" s="24">
        <v>44315</v>
      </c>
      <c r="H13" s="24">
        <v>43982</v>
      </c>
      <c r="I13" s="24">
        <v>44377</v>
      </c>
      <c r="J13" s="25" t="s">
        <v>25</v>
      </c>
      <c r="K13" s="25" t="s">
        <v>26</v>
      </c>
      <c r="L13" s="24">
        <v>44469</v>
      </c>
      <c r="M13" s="24">
        <v>44134</v>
      </c>
      <c r="N13" s="24">
        <v>44165</v>
      </c>
      <c r="O13" s="24">
        <v>44561</v>
      </c>
      <c r="P13" s="2"/>
      <c r="Q13" s="2"/>
      <c r="R13" s="2"/>
    </row>
    <row r="14" spans="1:19" x14ac:dyDescent="0.35">
      <c r="A14" t="s">
        <v>46</v>
      </c>
      <c r="C14" s="2">
        <v>64574</v>
      </c>
      <c r="D14" s="2">
        <v>66862</v>
      </c>
      <c r="E14" s="2">
        <v>66135</v>
      </c>
      <c r="F14" s="2">
        <v>66660</v>
      </c>
      <c r="G14" s="2">
        <f>180957-Q25</f>
        <v>68803</v>
      </c>
      <c r="H14" s="2">
        <v>66939</v>
      </c>
      <c r="I14" s="2">
        <v>67309</v>
      </c>
      <c r="J14" s="2">
        <v>68410</v>
      </c>
      <c r="K14" s="2">
        <v>67525</v>
      </c>
      <c r="L14" s="2">
        <v>66604</v>
      </c>
      <c r="M14" s="2">
        <v>64932</v>
      </c>
      <c r="N14" s="2">
        <v>67784</v>
      </c>
      <c r="O14" s="2">
        <v>70331</v>
      </c>
      <c r="P14" s="2"/>
      <c r="Q14" s="2"/>
      <c r="R14" s="2"/>
    </row>
    <row r="15" spans="1:19" x14ac:dyDescent="0.35">
      <c r="A15" t="s">
        <v>21</v>
      </c>
      <c r="C15" s="32"/>
      <c r="D15" s="2"/>
      <c r="E15" s="2"/>
      <c r="F15" s="2"/>
      <c r="G15" s="2"/>
      <c r="H15" s="2"/>
      <c r="I15" s="2"/>
      <c r="J15" s="2"/>
      <c r="K15" s="2"/>
      <c r="L15" s="31"/>
      <c r="M15" s="31"/>
      <c r="N15" s="31"/>
      <c r="O15" s="32"/>
      <c r="P15" s="2"/>
      <c r="Q15" s="2"/>
      <c r="R15" s="2"/>
    </row>
    <row r="16" spans="1:19" x14ac:dyDescent="0.35">
      <c r="A16" t="s">
        <v>17</v>
      </c>
      <c r="P16" s="26" t="s">
        <v>35</v>
      </c>
      <c r="Q16" s="26"/>
      <c r="R16" s="14">
        <v>2025</v>
      </c>
    </row>
    <row r="17" spans="1:21" x14ac:dyDescent="0.35">
      <c r="A17" t="s">
        <v>16</v>
      </c>
      <c r="P17" t="s">
        <v>37</v>
      </c>
      <c r="R17">
        <v>2067</v>
      </c>
      <c r="S17" t="s">
        <v>36</v>
      </c>
    </row>
    <row r="18" spans="1:21" x14ac:dyDescent="0.35">
      <c r="A18" t="s">
        <v>18</v>
      </c>
      <c r="C18" s="2">
        <f t="shared" ref="C18" si="5">SUM(C14:C17)</f>
        <v>64574</v>
      </c>
      <c r="D18" s="2">
        <f t="shared" ref="D18:O18" si="6">SUM(D14:D17)</f>
        <v>66862</v>
      </c>
      <c r="E18" s="2">
        <f t="shared" si="6"/>
        <v>66135</v>
      </c>
      <c r="F18" s="2">
        <f t="shared" si="6"/>
        <v>66660</v>
      </c>
      <c r="G18" s="2">
        <f t="shared" si="6"/>
        <v>68803</v>
      </c>
      <c r="H18" s="2">
        <f t="shared" si="6"/>
        <v>66939</v>
      </c>
      <c r="I18" s="2">
        <f t="shared" si="6"/>
        <v>67309</v>
      </c>
      <c r="J18" s="2">
        <f t="shared" si="6"/>
        <v>68410</v>
      </c>
      <c r="K18" s="2">
        <f t="shared" si="6"/>
        <v>67525</v>
      </c>
      <c r="L18" s="2">
        <f t="shared" si="6"/>
        <v>66604</v>
      </c>
      <c r="M18" s="2">
        <f t="shared" si="6"/>
        <v>64932</v>
      </c>
      <c r="N18" s="2">
        <f t="shared" si="6"/>
        <v>67784</v>
      </c>
      <c r="O18" s="2">
        <f t="shared" si="6"/>
        <v>70331</v>
      </c>
      <c r="P18" s="2">
        <f>O18-C18</f>
        <v>5757</v>
      </c>
    </row>
    <row r="19" spans="1:21" x14ac:dyDescent="0.35">
      <c r="C19" s="2">
        <f t="shared" ref="C19:O19" si="7">C18-B18</f>
        <v>64574</v>
      </c>
      <c r="D19" s="2">
        <f>D18-C18</f>
        <v>2288</v>
      </c>
      <c r="E19" s="2">
        <f t="shared" si="7"/>
        <v>-727</v>
      </c>
      <c r="F19" s="2">
        <f t="shared" si="7"/>
        <v>525</v>
      </c>
      <c r="G19" s="2">
        <f t="shared" si="7"/>
        <v>2143</v>
      </c>
      <c r="H19" s="2">
        <f t="shared" si="7"/>
        <v>-1864</v>
      </c>
      <c r="I19" s="2">
        <f t="shared" si="7"/>
        <v>370</v>
      </c>
      <c r="J19" s="2">
        <f t="shared" si="7"/>
        <v>1101</v>
      </c>
      <c r="K19" s="2">
        <f t="shared" si="7"/>
        <v>-885</v>
      </c>
      <c r="L19" s="2">
        <f t="shared" si="7"/>
        <v>-921</v>
      </c>
      <c r="M19" s="2">
        <f t="shared" si="7"/>
        <v>-1672</v>
      </c>
      <c r="N19" s="2">
        <f t="shared" si="7"/>
        <v>2852</v>
      </c>
      <c r="O19" s="2">
        <f t="shared" si="7"/>
        <v>2547</v>
      </c>
    </row>
    <row r="22" spans="1:21" x14ac:dyDescent="0.35">
      <c r="D22">
        <v>2880</v>
      </c>
    </row>
    <row r="23" spans="1:21" x14ac:dyDescent="0.35">
      <c r="D23">
        <v>720</v>
      </c>
      <c r="Q23" cm="1">
        <f t="array" ref="Q23:Q24">'[1]28-04-23'!$G$4:$G$5</f>
        <v>56077</v>
      </c>
      <c r="T23" t="s">
        <v>39</v>
      </c>
    </row>
    <row r="24" spans="1:21" x14ac:dyDescent="0.35">
      <c r="Q24">
        <v>56077</v>
      </c>
      <c r="T24" t="s">
        <v>40</v>
      </c>
      <c r="U24">
        <v>1072000</v>
      </c>
    </row>
    <row r="25" spans="1:21" x14ac:dyDescent="0.35">
      <c r="Q25">
        <f>SUM(_xlfn.ANCHORARRAY(Q23))</f>
        <v>112154</v>
      </c>
      <c r="T25" t="s">
        <v>41</v>
      </c>
      <c r="U25">
        <v>44000</v>
      </c>
    </row>
    <row r="26" spans="1:21" x14ac:dyDescent="0.35">
      <c r="T26" t="s">
        <v>42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54BFB-98A8-4374-8022-8C9F545D8964}">
  <dimension ref="A2:S19"/>
  <sheetViews>
    <sheetView workbookViewId="0">
      <selection sqref="A1:XFD1048576"/>
    </sheetView>
  </sheetViews>
  <sheetFormatPr defaultRowHeight="14.5" x14ac:dyDescent="0.35"/>
  <cols>
    <col min="15" max="15" width="9.26953125" customWidth="1"/>
  </cols>
  <sheetData>
    <row r="2" spans="1:19" ht="15" thickBot="1" x14ac:dyDescent="0.4">
      <c r="B2" t="s">
        <v>34</v>
      </c>
      <c r="C2" t="s">
        <v>32</v>
      </c>
      <c r="D2" s="23" t="s">
        <v>33</v>
      </c>
      <c r="E2" s="24">
        <v>44255</v>
      </c>
      <c r="F2" s="24">
        <v>44286</v>
      </c>
      <c r="G2" s="24">
        <v>44315</v>
      </c>
      <c r="H2" s="24">
        <v>43982</v>
      </c>
      <c r="I2" s="24">
        <v>44377</v>
      </c>
      <c r="J2" s="25" t="s">
        <v>25</v>
      </c>
      <c r="K2" s="25" t="s">
        <v>26</v>
      </c>
      <c r="L2" s="24">
        <v>44469</v>
      </c>
      <c r="M2" s="24">
        <v>44134</v>
      </c>
      <c r="N2" s="24">
        <v>44165</v>
      </c>
      <c r="O2" s="24">
        <v>44561</v>
      </c>
    </row>
    <row r="3" spans="1:19" x14ac:dyDescent="0.35">
      <c r="A3" s="21" t="s">
        <v>0</v>
      </c>
      <c r="B3">
        <v>135</v>
      </c>
      <c r="C3" s="2">
        <v>123988</v>
      </c>
      <c r="D3" s="2">
        <v>118935</v>
      </c>
      <c r="E3" s="2">
        <v>117763</v>
      </c>
      <c r="F3" s="2">
        <v>121519</v>
      </c>
      <c r="G3" s="2">
        <v>118997</v>
      </c>
      <c r="H3" s="2">
        <v>116920</v>
      </c>
      <c r="I3" s="2">
        <v>110174</v>
      </c>
      <c r="J3" s="2">
        <v>114344</v>
      </c>
      <c r="K3" s="2">
        <v>113878</v>
      </c>
      <c r="L3" s="2">
        <v>105842</v>
      </c>
      <c r="M3" s="2">
        <v>106745</v>
      </c>
      <c r="N3" s="2">
        <v>110759</v>
      </c>
      <c r="O3" s="2">
        <v>107970</v>
      </c>
      <c r="P3" s="2">
        <f>O3-C3</f>
        <v>-16018</v>
      </c>
      <c r="Q3" s="2"/>
      <c r="R3">
        <f>C3/D3</f>
        <v>1.0424853911800562</v>
      </c>
    </row>
    <row r="4" spans="1:19" ht="15" thickBot="1" x14ac:dyDescent="0.4">
      <c r="A4" s="22" t="s">
        <v>1</v>
      </c>
      <c r="B4">
        <v>65</v>
      </c>
      <c r="C4" s="2">
        <v>62546</v>
      </c>
      <c r="D4" s="2">
        <v>60901</v>
      </c>
      <c r="E4" s="2">
        <v>60150</v>
      </c>
      <c r="F4" s="2">
        <v>60840</v>
      </c>
      <c r="G4" s="2">
        <v>59897</v>
      </c>
      <c r="H4" s="2">
        <v>59394</v>
      </c>
      <c r="I4" s="2">
        <v>57631</v>
      </c>
      <c r="J4" s="2">
        <v>59073</v>
      </c>
      <c r="K4" s="2">
        <v>59237</v>
      </c>
      <c r="L4" s="2">
        <v>56857</v>
      </c>
      <c r="M4" s="2">
        <v>56293</v>
      </c>
      <c r="N4" s="2">
        <v>57984</v>
      </c>
      <c r="O4" s="2">
        <v>57316</v>
      </c>
      <c r="P4" s="2">
        <f t="shared" ref="P4:P5" si="0">O4-C4</f>
        <v>-5230</v>
      </c>
      <c r="Q4" s="2"/>
      <c r="R4">
        <f t="shared" ref="R4:R6" si="1">C4/D4</f>
        <v>1.027011050721663</v>
      </c>
    </row>
    <row r="5" spans="1:19" x14ac:dyDescent="0.35">
      <c r="A5" t="s">
        <v>2</v>
      </c>
      <c r="B5">
        <v>650</v>
      </c>
      <c r="C5" s="2">
        <v>535728</v>
      </c>
      <c r="D5" s="2">
        <v>519191</v>
      </c>
      <c r="E5" s="2">
        <v>514667</v>
      </c>
      <c r="F5" s="2">
        <v>519255</v>
      </c>
      <c r="G5" s="2">
        <v>510787</v>
      </c>
      <c r="H5" s="2">
        <v>507619</v>
      </c>
      <c r="I5" s="2">
        <v>497631</v>
      </c>
      <c r="J5" s="2">
        <v>513335</v>
      </c>
      <c r="K5" s="2">
        <v>511064</v>
      </c>
      <c r="L5" s="2">
        <v>491238</v>
      </c>
      <c r="M5" s="2">
        <v>495156</v>
      </c>
      <c r="N5" s="2">
        <v>511582</v>
      </c>
      <c r="O5" s="2">
        <v>507766</v>
      </c>
      <c r="P5" s="2">
        <f t="shared" si="0"/>
        <v>-27962</v>
      </c>
      <c r="Q5" s="2">
        <f>2500*12</f>
        <v>30000</v>
      </c>
      <c r="R5">
        <f t="shared" si="1"/>
        <v>1.0318514766242095</v>
      </c>
    </row>
    <row r="6" spans="1:19" x14ac:dyDescent="0.35">
      <c r="A6" t="s">
        <v>3</v>
      </c>
      <c r="B6">
        <v>250</v>
      </c>
      <c r="C6" s="2">
        <v>237072</v>
      </c>
      <c r="D6" s="2">
        <v>237072</v>
      </c>
      <c r="E6" s="2">
        <v>237072</v>
      </c>
      <c r="F6" s="2">
        <v>237072</v>
      </c>
      <c r="G6" s="2">
        <v>237072</v>
      </c>
      <c r="H6" s="2">
        <v>237072</v>
      </c>
      <c r="I6" s="2">
        <v>237072</v>
      </c>
      <c r="J6" s="2">
        <v>237072</v>
      </c>
      <c r="K6" s="2">
        <v>237072</v>
      </c>
      <c r="L6" s="2">
        <v>237072</v>
      </c>
      <c r="M6" s="2">
        <v>237072</v>
      </c>
      <c r="N6" s="2">
        <v>237072</v>
      </c>
      <c r="O6" s="2">
        <v>237072</v>
      </c>
      <c r="R6">
        <f t="shared" si="1"/>
        <v>1</v>
      </c>
    </row>
    <row r="7" spans="1:19" ht="15" thickBot="1" x14ac:dyDescent="0.4">
      <c r="B7">
        <f>SUM(B3:B6)</f>
        <v>1100</v>
      </c>
      <c r="C7" s="2">
        <f>SUM(C3:C6)</f>
        <v>959334</v>
      </c>
      <c r="D7" s="3">
        <f t="shared" ref="D7:O7" si="2">SUM(D3:D6)</f>
        <v>936099</v>
      </c>
      <c r="E7" s="3">
        <f t="shared" si="2"/>
        <v>929652</v>
      </c>
      <c r="F7" s="3">
        <f t="shared" si="2"/>
        <v>938686</v>
      </c>
      <c r="G7" s="3">
        <f t="shared" si="2"/>
        <v>926753</v>
      </c>
      <c r="H7" s="3">
        <f t="shared" si="2"/>
        <v>921005</v>
      </c>
      <c r="I7" s="3">
        <f t="shared" si="2"/>
        <v>902508</v>
      </c>
      <c r="J7" s="3">
        <f t="shared" si="2"/>
        <v>923824</v>
      </c>
      <c r="K7" s="3">
        <f t="shared" si="2"/>
        <v>921251</v>
      </c>
      <c r="L7" s="3">
        <f t="shared" si="2"/>
        <v>891009</v>
      </c>
      <c r="M7" s="3">
        <f t="shared" si="2"/>
        <v>895266</v>
      </c>
      <c r="N7" s="3">
        <f t="shared" si="2"/>
        <v>917397</v>
      </c>
      <c r="O7" s="3">
        <f t="shared" si="2"/>
        <v>910124</v>
      </c>
    </row>
    <row r="8" spans="1:19" ht="15" thickTop="1" x14ac:dyDescent="0.35">
      <c r="A8" t="s">
        <v>4</v>
      </c>
      <c r="D8" s="28">
        <f>D7-C7</f>
        <v>-23235</v>
      </c>
      <c r="E8" s="28">
        <f>E7-D7</f>
        <v>-6447</v>
      </c>
      <c r="F8" s="2">
        <f>F7-E7</f>
        <v>9034</v>
      </c>
      <c r="G8" s="29">
        <f>G7-F7</f>
        <v>-11933</v>
      </c>
      <c r="H8" s="29">
        <f>H7-G7</f>
        <v>-5748</v>
      </c>
      <c r="I8" s="30">
        <f t="shared" ref="I8:N8" si="3">I7-H7</f>
        <v>-18497</v>
      </c>
      <c r="J8" s="27">
        <f t="shared" si="3"/>
        <v>21316</v>
      </c>
      <c r="K8" s="27">
        <f t="shared" si="3"/>
        <v>-2573</v>
      </c>
      <c r="L8" s="27">
        <f t="shared" si="3"/>
        <v>-30242</v>
      </c>
      <c r="M8" s="27">
        <f t="shared" si="3"/>
        <v>4257</v>
      </c>
      <c r="N8" s="27">
        <f t="shared" si="3"/>
        <v>22131</v>
      </c>
      <c r="O8" s="29">
        <f>O7-D7</f>
        <v>-25975</v>
      </c>
    </row>
    <row r="9" spans="1:19" x14ac:dyDescent="0.35">
      <c r="O9" s="2">
        <f>SUM(D8:O8)</f>
        <v>-67912</v>
      </c>
    </row>
    <row r="10" spans="1:19" x14ac:dyDescent="0.35">
      <c r="O10" s="2">
        <f>O7-D7</f>
        <v>-25975</v>
      </c>
    </row>
    <row r="12" spans="1:19" x14ac:dyDescent="0.35">
      <c r="P12" s="26"/>
      <c r="Q12" s="26"/>
      <c r="R12" s="14"/>
      <c r="S12">
        <f>2677/12</f>
        <v>223.08333333333334</v>
      </c>
    </row>
    <row r="13" spans="1:19" x14ac:dyDescent="0.35">
      <c r="C13" t="s">
        <v>28</v>
      </c>
      <c r="D13" s="23" t="s">
        <v>33</v>
      </c>
      <c r="E13" s="24">
        <v>44255</v>
      </c>
      <c r="F13" s="24">
        <v>44286</v>
      </c>
      <c r="G13" s="24">
        <v>44315</v>
      </c>
      <c r="H13" s="24">
        <v>43982</v>
      </c>
      <c r="I13" s="24">
        <v>44377</v>
      </c>
      <c r="J13" s="25" t="s">
        <v>25</v>
      </c>
      <c r="K13" s="25" t="s">
        <v>26</v>
      </c>
      <c r="L13" s="24">
        <v>44469</v>
      </c>
      <c r="M13" s="24">
        <v>44134</v>
      </c>
      <c r="N13" s="24">
        <v>44165</v>
      </c>
      <c r="O13" s="24">
        <v>44561</v>
      </c>
      <c r="P13" s="2"/>
      <c r="Q13" s="2"/>
      <c r="R13" s="2"/>
    </row>
    <row r="14" spans="1:19" x14ac:dyDescent="0.35">
      <c r="A14" t="s">
        <v>15</v>
      </c>
      <c r="C14" s="2">
        <v>34626</v>
      </c>
      <c r="D14" s="2">
        <f>158329-(59236*2)</f>
        <v>39857</v>
      </c>
      <c r="E14" s="2">
        <v>39323</v>
      </c>
      <c r="F14" s="2">
        <v>39837</v>
      </c>
      <c r="G14" s="2">
        <v>41724</v>
      </c>
      <c r="H14" s="2">
        <f>155390-(56526*2)</f>
        <v>42338</v>
      </c>
      <c r="I14" s="2">
        <f>148075-('[1]30-06-22'!$G$4*2)</f>
        <v>40561</v>
      </c>
      <c r="J14" s="2">
        <v>41510</v>
      </c>
      <c r="K14" s="2">
        <v>41335</v>
      </c>
      <c r="L14" s="2">
        <f>38484+23956</f>
        <v>62440</v>
      </c>
      <c r="M14" s="2">
        <v>63471</v>
      </c>
      <c r="N14" s="2">
        <v>65414</v>
      </c>
      <c r="O14" s="2">
        <v>64574</v>
      </c>
      <c r="P14" s="2"/>
      <c r="Q14" s="2"/>
      <c r="R14" s="2"/>
    </row>
    <row r="15" spans="1:19" x14ac:dyDescent="0.35">
      <c r="A15" t="s">
        <v>21</v>
      </c>
      <c r="C15" s="2">
        <v>22708</v>
      </c>
      <c r="D15" s="2">
        <v>25281</v>
      </c>
      <c r="E15" s="2">
        <v>25281</v>
      </c>
      <c r="F15" s="2">
        <v>25281</v>
      </c>
      <c r="G15" s="2">
        <v>25281</v>
      </c>
      <c r="H15" s="2">
        <v>25281</v>
      </c>
      <c r="I15" s="2">
        <v>25281</v>
      </c>
      <c r="J15" s="2">
        <v>25281</v>
      </c>
      <c r="K15" s="2">
        <v>24408</v>
      </c>
      <c r="L15" s="31"/>
      <c r="M15" s="31"/>
      <c r="N15" s="31"/>
      <c r="O15" s="32"/>
      <c r="P15" s="2"/>
      <c r="Q15" s="2"/>
      <c r="R15" s="2"/>
    </row>
    <row r="16" spans="1:19" x14ac:dyDescent="0.35">
      <c r="A16" t="s">
        <v>17</v>
      </c>
      <c r="P16" s="26" t="s">
        <v>35</v>
      </c>
      <c r="Q16" s="26"/>
      <c r="R16" s="14">
        <v>2025</v>
      </c>
    </row>
    <row r="17" spans="1:19" x14ac:dyDescent="0.35">
      <c r="A17" t="s">
        <v>16</v>
      </c>
      <c r="P17" t="s">
        <v>37</v>
      </c>
      <c r="R17">
        <v>2067</v>
      </c>
      <c r="S17" t="s">
        <v>36</v>
      </c>
    </row>
    <row r="18" spans="1:19" x14ac:dyDescent="0.35">
      <c r="A18" t="s">
        <v>18</v>
      </c>
      <c r="C18" s="2">
        <f t="shared" ref="C18:O18" si="4">SUM(C14:C17)</f>
        <v>57334</v>
      </c>
      <c r="D18" s="2">
        <f t="shared" si="4"/>
        <v>65138</v>
      </c>
      <c r="E18" s="2">
        <f t="shared" si="4"/>
        <v>64604</v>
      </c>
      <c r="F18" s="2">
        <f t="shared" si="4"/>
        <v>65118</v>
      </c>
      <c r="G18" s="2">
        <f t="shared" si="4"/>
        <v>67005</v>
      </c>
      <c r="H18" s="2">
        <f t="shared" si="4"/>
        <v>67619</v>
      </c>
      <c r="I18" s="2">
        <f t="shared" si="4"/>
        <v>65842</v>
      </c>
      <c r="J18" s="2">
        <f t="shared" si="4"/>
        <v>66791</v>
      </c>
      <c r="K18" s="2">
        <f t="shared" si="4"/>
        <v>65743</v>
      </c>
      <c r="L18" s="2">
        <f t="shared" si="4"/>
        <v>62440</v>
      </c>
      <c r="M18" s="2">
        <f t="shared" si="4"/>
        <v>63471</v>
      </c>
      <c r="N18" s="2">
        <f t="shared" si="4"/>
        <v>65414</v>
      </c>
      <c r="O18" s="2">
        <f t="shared" si="4"/>
        <v>64574</v>
      </c>
      <c r="P18" s="2">
        <f>O18-C18</f>
        <v>7240</v>
      </c>
    </row>
    <row r="19" spans="1:19" x14ac:dyDescent="0.35">
      <c r="D19" s="2">
        <f>D18-C18</f>
        <v>7804</v>
      </c>
      <c r="E19" s="2">
        <f t="shared" ref="E19:O19" si="5">E18-D18</f>
        <v>-534</v>
      </c>
      <c r="F19" s="2">
        <f t="shared" si="5"/>
        <v>514</v>
      </c>
      <c r="G19" s="2">
        <f t="shared" si="5"/>
        <v>1887</v>
      </c>
      <c r="H19" s="2">
        <f t="shared" si="5"/>
        <v>614</v>
      </c>
      <c r="I19" s="2">
        <f t="shared" si="5"/>
        <v>-1777</v>
      </c>
      <c r="J19" s="2">
        <f t="shared" si="5"/>
        <v>949</v>
      </c>
      <c r="K19" s="2">
        <f t="shared" si="5"/>
        <v>-1048</v>
      </c>
      <c r="L19" s="2">
        <f t="shared" si="5"/>
        <v>-3303</v>
      </c>
      <c r="M19" s="2">
        <f t="shared" si="5"/>
        <v>1031</v>
      </c>
      <c r="N19" s="2">
        <f t="shared" si="5"/>
        <v>1943</v>
      </c>
      <c r="O19" s="2">
        <f t="shared" si="5"/>
        <v>-840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841F2-7CEC-4E60-9C2B-227E8E82D408}">
  <dimension ref="A1"/>
  <sheetViews>
    <sheetView workbookViewId="0">
      <selection activeCell="D16" sqref="D16"/>
    </sheetView>
  </sheetViews>
  <sheetFormatPr defaultRowHeight="14.5" x14ac:dyDescent="0.35"/>
  <sheetData/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5DAC5-A0C2-46BB-A71F-9148B55E2DBE}">
  <dimension ref="B1:AB25"/>
  <sheetViews>
    <sheetView topLeftCell="A4" workbookViewId="0">
      <selection activeCell="A22" sqref="A22:XFD22"/>
    </sheetView>
  </sheetViews>
  <sheetFormatPr defaultRowHeight="14.5" x14ac:dyDescent="0.35"/>
  <cols>
    <col min="1" max="1" width="1.6328125" customWidth="1"/>
    <col min="2" max="2" width="3.81640625" customWidth="1"/>
    <col min="3" max="3" width="10.7265625" customWidth="1"/>
    <col min="4" max="6" width="3.81640625" customWidth="1"/>
    <col min="19" max="19" width="11.81640625" customWidth="1"/>
    <col min="27" max="27" width="21.90625" bestFit="1" customWidth="1"/>
  </cols>
  <sheetData>
    <row r="1" spans="2:28" x14ac:dyDescent="0.35">
      <c r="K1" s="37">
        <v>2020</v>
      </c>
      <c r="L1" s="37"/>
      <c r="M1" s="37"/>
      <c r="N1" s="37"/>
      <c r="O1" s="37"/>
      <c r="P1" s="37"/>
      <c r="Q1" s="37"/>
      <c r="R1" s="37"/>
      <c r="S1" s="37"/>
      <c r="W1" t="s">
        <v>7</v>
      </c>
      <c r="X1" s="16" t="s">
        <v>10</v>
      </c>
      <c r="AA1" t="s">
        <v>8</v>
      </c>
    </row>
    <row r="2" spans="2:28" ht="15" thickBot="1" x14ac:dyDescent="0.4">
      <c r="C2" s="1"/>
      <c r="F2" t="s">
        <v>19</v>
      </c>
      <c r="G2" t="s">
        <v>28</v>
      </c>
      <c r="H2" s="23" t="s">
        <v>29</v>
      </c>
      <c r="I2" s="24">
        <v>44255</v>
      </c>
      <c r="J2" s="24">
        <v>44286</v>
      </c>
      <c r="K2" s="24">
        <v>44316</v>
      </c>
      <c r="L2" s="24">
        <v>43980</v>
      </c>
      <c r="M2" s="24">
        <v>44377</v>
      </c>
      <c r="N2" s="25" t="s">
        <v>25</v>
      </c>
      <c r="O2" s="25" t="s">
        <v>26</v>
      </c>
      <c r="P2" s="24">
        <v>44469</v>
      </c>
      <c r="Q2" s="24">
        <v>44134</v>
      </c>
      <c r="R2" s="24">
        <v>44165</v>
      </c>
      <c r="S2" s="24">
        <v>44561</v>
      </c>
      <c r="T2" t="s">
        <v>27</v>
      </c>
      <c r="V2" t="s">
        <v>22</v>
      </c>
      <c r="W2" t="s">
        <v>14</v>
      </c>
      <c r="X2" s="16" t="s">
        <v>14</v>
      </c>
      <c r="AA2">
        <v>3097</v>
      </c>
      <c r="AB2">
        <v>1.0345315879847468</v>
      </c>
    </row>
    <row r="3" spans="2:28" x14ac:dyDescent="0.35">
      <c r="C3" s="21" t="s">
        <v>0</v>
      </c>
      <c r="F3">
        <v>100</v>
      </c>
      <c r="G3" s="2">
        <v>103366</v>
      </c>
      <c r="H3" s="2">
        <v>105000</v>
      </c>
      <c r="I3" s="2">
        <v>108560</v>
      </c>
      <c r="J3" s="2">
        <v>109775</v>
      </c>
      <c r="K3" s="2">
        <v>113882</v>
      </c>
      <c r="L3" s="2">
        <v>114384</v>
      </c>
      <c r="M3" s="2">
        <v>116757</v>
      </c>
      <c r="N3" s="2">
        <v>118570</v>
      </c>
      <c r="O3" s="2">
        <v>121506</v>
      </c>
      <c r="P3" s="2">
        <v>118292</v>
      </c>
      <c r="Q3" s="2">
        <v>121434</v>
      </c>
      <c r="R3" s="2">
        <v>121680</v>
      </c>
      <c r="S3" s="2">
        <v>123988</v>
      </c>
      <c r="T3" s="2">
        <f>S3-H3</f>
        <v>18988</v>
      </c>
      <c r="U3" s="14">
        <f>S3/G3</f>
        <v>1.1995046727163672</v>
      </c>
      <c r="V3" s="14">
        <f t="shared" ref="V3:V4" si="0">S3/H3</f>
        <v>1.1808380952380952</v>
      </c>
      <c r="W3" s="2">
        <f t="shared" ref="W3:W5" si="1">K3-H3</f>
        <v>8882</v>
      </c>
      <c r="X3" s="17">
        <f t="shared" ref="X3:X4" si="2">(K3-H3)+(M3-K3)+(Q3-M3)+(S3-Q3)</f>
        <v>18988</v>
      </c>
      <c r="AA3">
        <v>2162</v>
      </c>
      <c r="AB3">
        <v>1.0404846169690842</v>
      </c>
    </row>
    <row r="4" spans="2:28" ht="15" thickBot="1" x14ac:dyDescent="0.4">
      <c r="B4" t="s">
        <v>12</v>
      </c>
      <c r="C4" s="22" t="s">
        <v>1</v>
      </c>
      <c r="F4">
        <v>60</v>
      </c>
      <c r="G4" s="2">
        <v>59379</v>
      </c>
      <c r="H4" s="2">
        <v>59263</v>
      </c>
      <c r="I4" s="2">
        <v>59083</v>
      </c>
      <c r="J4" s="2">
        <v>59407</v>
      </c>
      <c r="K4" s="2">
        <v>60506</v>
      </c>
      <c r="L4" s="2">
        <v>60432</v>
      </c>
      <c r="M4" s="2">
        <v>61139</v>
      </c>
      <c r="N4" s="2">
        <v>61478</v>
      </c>
      <c r="O4" s="2">
        <v>62522</v>
      </c>
      <c r="P4" s="2">
        <v>61610</v>
      </c>
      <c r="Q4" s="2">
        <v>62020</v>
      </c>
      <c r="R4" s="2">
        <v>62043</v>
      </c>
      <c r="S4" s="2">
        <v>62546</v>
      </c>
      <c r="T4" s="2">
        <f>S4-H4</f>
        <v>3283</v>
      </c>
      <c r="U4" s="14">
        <f>S4/G4</f>
        <v>1.0533353542498189</v>
      </c>
      <c r="V4" s="14">
        <f t="shared" si="0"/>
        <v>1.0553971280562915</v>
      </c>
      <c r="W4" s="2">
        <f t="shared" si="1"/>
        <v>1243</v>
      </c>
      <c r="X4" s="17">
        <f t="shared" si="2"/>
        <v>3283</v>
      </c>
      <c r="Z4">
        <f>336+656</f>
        <v>992</v>
      </c>
      <c r="AA4">
        <v>21226.099999999977</v>
      </c>
      <c r="AB4">
        <v>1.056331939151389</v>
      </c>
    </row>
    <row r="5" spans="2:28" x14ac:dyDescent="0.35">
      <c r="C5" t="s">
        <v>2</v>
      </c>
      <c r="D5">
        <v>394</v>
      </c>
      <c r="E5">
        <f>394-263</f>
        <v>131</v>
      </c>
      <c r="F5">
        <v>400</v>
      </c>
      <c r="G5" s="2">
        <v>482504</v>
      </c>
      <c r="H5" s="2">
        <v>482501</v>
      </c>
      <c r="I5" s="2">
        <v>481248</v>
      </c>
      <c r="J5" s="2">
        <v>487000</v>
      </c>
      <c r="K5" s="2">
        <v>495036</v>
      </c>
      <c r="L5" s="2">
        <v>498055</v>
      </c>
      <c r="M5" s="2">
        <v>508228</v>
      </c>
      <c r="N5" s="2">
        <v>515926</v>
      </c>
      <c r="O5" s="2">
        <v>524438</v>
      </c>
      <c r="P5" s="2">
        <v>517267</v>
      </c>
      <c r="Q5" s="2">
        <v>523269</v>
      </c>
      <c r="R5" s="2">
        <v>527882</v>
      </c>
      <c r="S5" s="2">
        <v>535728</v>
      </c>
      <c r="T5" s="2">
        <f>S5-G5</f>
        <v>53224</v>
      </c>
      <c r="U5" s="14">
        <f t="shared" ref="U5:U6" si="3">S5/H5</f>
        <v>1.1103147972750316</v>
      </c>
      <c r="V5" s="14">
        <f>S5/H5</f>
        <v>1.1103147972750316</v>
      </c>
      <c r="W5" s="2">
        <f t="shared" si="1"/>
        <v>12535</v>
      </c>
      <c r="X5" s="17">
        <f>(K5-H5)+(M5-K5)+(P5-M5)+(S5-Q5)</f>
        <v>47225</v>
      </c>
      <c r="Y5" s="2">
        <f>(S5-G5)-AB9</f>
        <v>22924</v>
      </c>
      <c r="AA5">
        <v>0</v>
      </c>
      <c r="AB5">
        <v>1</v>
      </c>
    </row>
    <row r="6" spans="2:28" x14ac:dyDescent="0.35">
      <c r="C6" t="s">
        <v>3</v>
      </c>
      <c r="F6">
        <v>175</v>
      </c>
      <c r="G6" s="2">
        <v>218263</v>
      </c>
      <c r="H6" s="2">
        <v>237072</v>
      </c>
      <c r="I6" s="2">
        <v>237072</v>
      </c>
      <c r="J6" s="2">
        <v>237072</v>
      </c>
      <c r="K6" s="2">
        <v>237072</v>
      </c>
      <c r="L6" s="2">
        <v>237072</v>
      </c>
      <c r="M6" s="2">
        <v>237072</v>
      </c>
      <c r="N6" s="2">
        <v>237072</v>
      </c>
      <c r="O6" s="2">
        <v>237072</v>
      </c>
      <c r="P6" s="2">
        <v>237072</v>
      </c>
      <c r="Q6" s="2">
        <v>237072</v>
      </c>
      <c r="R6" s="2">
        <v>237072</v>
      </c>
      <c r="S6" s="2">
        <v>237072</v>
      </c>
      <c r="T6" s="2">
        <f>S6-Q6</f>
        <v>0</v>
      </c>
      <c r="U6" s="14">
        <f t="shared" si="3"/>
        <v>1</v>
      </c>
      <c r="V6" s="14">
        <f>S6/H6</f>
        <v>1</v>
      </c>
      <c r="W6" s="2">
        <f>K6-H6</f>
        <v>0</v>
      </c>
      <c r="X6" s="17">
        <f>(K6-H6)+(M6-K6)+(Q6-M6)+(S6-Q6)</f>
        <v>0</v>
      </c>
    </row>
    <row r="7" spans="2:28" ht="15" thickBot="1" x14ac:dyDescent="0.4">
      <c r="C7" t="s">
        <v>4</v>
      </c>
      <c r="F7">
        <f>SUM(F3:F6)</f>
        <v>735</v>
      </c>
      <c r="G7" s="2">
        <f>SUM(G3:G6)</f>
        <v>863512</v>
      </c>
      <c r="H7" s="3">
        <f t="shared" ref="H7:S7" si="4">SUM(H3:H6)</f>
        <v>883836</v>
      </c>
      <c r="I7" s="3">
        <f t="shared" si="4"/>
        <v>885963</v>
      </c>
      <c r="J7" s="3">
        <f t="shared" si="4"/>
        <v>893254</v>
      </c>
      <c r="K7" s="3">
        <f t="shared" si="4"/>
        <v>906496</v>
      </c>
      <c r="L7" s="3">
        <f t="shared" si="4"/>
        <v>909943</v>
      </c>
      <c r="M7" s="3">
        <f t="shared" si="4"/>
        <v>923196</v>
      </c>
      <c r="N7" s="3">
        <f t="shared" si="4"/>
        <v>933046</v>
      </c>
      <c r="O7" s="3">
        <f t="shared" si="4"/>
        <v>945538</v>
      </c>
      <c r="P7" s="3">
        <f t="shared" si="4"/>
        <v>934241</v>
      </c>
      <c r="Q7" s="3">
        <f t="shared" si="4"/>
        <v>943795</v>
      </c>
      <c r="R7" s="3">
        <f t="shared" si="4"/>
        <v>948677</v>
      </c>
      <c r="S7" s="3">
        <f t="shared" si="4"/>
        <v>959334</v>
      </c>
      <c r="V7" s="14">
        <f>S7/H7</f>
        <v>1.0854208246778814</v>
      </c>
      <c r="W7" s="3">
        <f>(H7-G7)+(K7-H7)+(M7-K7)+(Q7-M7)</f>
        <v>80283</v>
      </c>
      <c r="X7" s="18">
        <f>(K7-H7)+(M7-K7)+(Q7-M7)+(S7-Q7)</f>
        <v>75498</v>
      </c>
    </row>
    <row r="8" spans="2:28" ht="15" thickTop="1" x14ac:dyDescent="0.35">
      <c r="H8" s="2">
        <f>H7-G7</f>
        <v>20324</v>
      </c>
      <c r="I8" s="2">
        <f>I7-H7</f>
        <v>2127</v>
      </c>
      <c r="J8" s="2">
        <f>J7-I7</f>
        <v>7291</v>
      </c>
      <c r="K8" s="4">
        <f>K7-J7</f>
        <v>13242</v>
      </c>
      <c r="L8" s="4">
        <f>L7-K7</f>
        <v>3447</v>
      </c>
      <c r="M8" s="4">
        <f t="shared" ref="M8:R8" si="5">M7-L7</f>
        <v>13253</v>
      </c>
      <c r="N8" s="4">
        <f t="shared" si="5"/>
        <v>9850</v>
      </c>
      <c r="O8" s="4">
        <f t="shared" si="5"/>
        <v>12492</v>
      </c>
      <c r="P8" s="4">
        <f t="shared" si="5"/>
        <v>-11297</v>
      </c>
      <c r="Q8" s="4">
        <f t="shared" si="5"/>
        <v>9554</v>
      </c>
      <c r="R8" s="4">
        <f t="shared" si="5"/>
        <v>4882</v>
      </c>
      <c r="S8" s="4">
        <f>S7-H7</f>
        <v>75498</v>
      </c>
      <c r="T8" s="2">
        <f>SUM(T3:T6)</f>
        <v>75495</v>
      </c>
      <c r="V8" s="14">
        <f>S8/H8</f>
        <v>3.7147215115134817</v>
      </c>
      <c r="W8">
        <f>Q7/100*6</f>
        <v>56627.700000000004</v>
      </c>
      <c r="X8" s="16">
        <f>S7/100*6</f>
        <v>57560.04</v>
      </c>
    </row>
    <row r="9" spans="2:28" x14ac:dyDescent="0.35">
      <c r="S9" s="2">
        <f>SUM(K8:S8)</f>
        <v>130921</v>
      </c>
      <c r="AA9" t="s">
        <v>30</v>
      </c>
      <c r="AB9">
        <f>2525*12</f>
        <v>30300</v>
      </c>
    </row>
    <row r="10" spans="2:28" x14ac:dyDescent="0.35">
      <c r="S10" s="2">
        <f>S7-H7</f>
        <v>75498</v>
      </c>
      <c r="AA10" t="s">
        <v>31</v>
      </c>
      <c r="AB10">
        <f>(S5-AB9)/G5</f>
        <v>1.0475104869596936</v>
      </c>
    </row>
    <row r="11" spans="2:28" x14ac:dyDescent="0.35">
      <c r="H11">
        <v>172848</v>
      </c>
      <c r="K11" t="s">
        <v>11</v>
      </c>
    </row>
    <row r="12" spans="2:28" x14ac:dyDescent="0.35">
      <c r="C12" s="1"/>
      <c r="H12">
        <f>65656*2</f>
        <v>131312</v>
      </c>
      <c r="W12">
        <f>110000/12</f>
        <v>9166.6666666666661</v>
      </c>
      <c r="X12">
        <f>9449*12</f>
        <v>113388</v>
      </c>
    </row>
    <row r="13" spans="2:28" x14ac:dyDescent="0.35">
      <c r="H13">
        <f>H11-H12</f>
        <v>41536</v>
      </c>
      <c r="S13" s="2">
        <v>1073100</v>
      </c>
      <c r="W13">
        <f>W12*10</f>
        <v>91666.666666666657</v>
      </c>
      <c r="X13">
        <f>X12/12*10</f>
        <v>94490</v>
      </c>
      <c r="AA13" s="2"/>
    </row>
    <row r="14" spans="2:28" x14ac:dyDescent="0.35">
      <c r="K14">
        <f>2000*30</f>
        <v>60000</v>
      </c>
      <c r="W14">
        <f>W12*3</f>
        <v>27500</v>
      </c>
      <c r="X14">
        <f>X12/12*3</f>
        <v>28347</v>
      </c>
    </row>
    <row r="15" spans="2:28" x14ac:dyDescent="0.35">
      <c r="W15">
        <f>SUM(W13:W14)</f>
        <v>119166.66666666666</v>
      </c>
      <c r="X15">
        <f>SUM(X13:X14)</f>
        <v>122837</v>
      </c>
    </row>
    <row r="17" spans="3:25" x14ac:dyDescent="0.35">
      <c r="G17" t="s">
        <v>28</v>
      </c>
      <c r="H17" s="11" t="s">
        <v>29</v>
      </c>
      <c r="I17" s="19">
        <v>44255</v>
      </c>
      <c r="J17" s="19">
        <v>44286</v>
      </c>
      <c r="K17" s="19">
        <v>44316</v>
      </c>
      <c r="L17" s="19">
        <v>43980</v>
      </c>
      <c r="M17" s="19">
        <v>44377</v>
      </c>
      <c r="N17" t="s">
        <v>25</v>
      </c>
      <c r="O17" t="s">
        <v>26</v>
      </c>
      <c r="P17" s="19">
        <v>44469</v>
      </c>
      <c r="Q17" s="19">
        <v>44134</v>
      </c>
      <c r="R17" s="19">
        <v>44165</v>
      </c>
      <c r="S17" s="19">
        <v>44561</v>
      </c>
      <c r="T17" t="s">
        <v>18</v>
      </c>
    </row>
    <row r="18" spans="3:25" x14ac:dyDescent="0.35">
      <c r="C18" t="s">
        <v>15</v>
      </c>
      <c r="G18" s="2">
        <v>34626</v>
      </c>
      <c r="H18" s="2">
        <v>31284</v>
      </c>
      <c r="I18" s="2">
        <v>37838</v>
      </c>
      <c r="J18" s="2">
        <v>39059</v>
      </c>
      <c r="K18" s="2">
        <v>39971</v>
      </c>
      <c r="L18" s="2">
        <v>40234</v>
      </c>
      <c r="M18" s="2">
        <v>40640</v>
      </c>
      <c r="N18" s="2">
        <v>40740</v>
      </c>
      <c r="O18" s="2">
        <f>H13</f>
        <v>41536</v>
      </c>
      <c r="P18" s="2">
        <f>167728-('[1]30-09-21'!$G$4+'[1]30-09-21'!$G$5)</f>
        <v>40680</v>
      </c>
      <c r="Q18" s="2">
        <v>40988</v>
      </c>
      <c r="R18" s="2">
        <v>40993</v>
      </c>
      <c r="S18" s="2">
        <f>U19-U20</f>
        <v>41789</v>
      </c>
      <c r="U18">
        <v>8300</v>
      </c>
      <c r="V18">
        <v>2880</v>
      </c>
      <c r="X18" s="2">
        <f>S18-G18</f>
        <v>7163</v>
      </c>
      <c r="Y18">
        <f>S18/G18</f>
        <v>1.2068676716917923</v>
      </c>
    </row>
    <row r="19" spans="3:25" x14ac:dyDescent="0.35">
      <c r="C19" t="s">
        <v>21</v>
      </c>
      <c r="G19" s="2">
        <v>21714</v>
      </c>
      <c r="H19" s="2">
        <v>22134</v>
      </c>
      <c r="I19" s="2">
        <v>22134</v>
      </c>
      <c r="J19" s="2">
        <v>22134</v>
      </c>
      <c r="K19" s="2">
        <v>22708</v>
      </c>
      <c r="L19" s="2">
        <v>22708</v>
      </c>
      <c r="M19" s="2">
        <v>22708</v>
      </c>
      <c r="N19" s="2">
        <v>22708</v>
      </c>
      <c r="O19" s="2">
        <v>22708</v>
      </c>
      <c r="P19" s="2">
        <v>22708</v>
      </c>
      <c r="Q19" s="2">
        <v>22708</v>
      </c>
      <c r="R19" s="2">
        <v>22708</v>
      </c>
      <c r="S19" s="2">
        <v>22708</v>
      </c>
      <c r="U19" s="2">
        <v>172789</v>
      </c>
      <c r="Y19">
        <f>G18*1.2</f>
        <v>41551.199999999997</v>
      </c>
    </row>
    <row r="20" spans="3:25" x14ac:dyDescent="0.35">
      <c r="C20" t="s">
        <v>23</v>
      </c>
      <c r="G20" s="2">
        <v>3425</v>
      </c>
      <c r="H20" s="2">
        <v>3425</v>
      </c>
      <c r="I20" s="2">
        <v>3425</v>
      </c>
      <c r="J20" s="20"/>
      <c r="U20">
        <f>131000</f>
        <v>131000</v>
      </c>
    </row>
    <row r="21" spans="3:25" x14ac:dyDescent="0.35">
      <c r="C21" t="s">
        <v>17</v>
      </c>
      <c r="S21" s="15"/>
    </row>
    <row r="22" spans="3:25" x14ac:dyDescent="0.35">
      <c r="C22" t="s">
        <v>16</v>
      </c>
      <c r="S22" s="15"/>
      <c r="T22" t="s">
        <v>24</v>
      </c>
    </row>
    <row r="23" spans="3:25" x14ac:dyDescent="0.35">
      <c r="C23" t="s">
        <v>18</v>
      </c>
      <c r="G23" s="2">
        <f t="shared" ref="G23" si="6">SUM(G18:G22)</f>
        <v>59765</v>
      </c>
      <c r="H23" s="2">
        <f>SUM(H18:H22)</f>
        <v>56843</v>
      </c>
      <c r="I23" s="2">
        <f>SUM(I18:I22)</f>
        <v>63397</v>
      </c>
      <c r="J23" s="2">
        <f>SUM(J18:J22)</f>
        <v>61193</v>
      </c>
      <c r="K23" s="2">
        <f t="shared" ref="K23:R23" si="7">SUM(K18:K22)</f>
        <v>62679</v>
      </c>
      <c r="L23" s="2">
        <f t="shared" si="7"/>
        <v>62942</v>
      </c>
      <c r="M23" s="2">
        <f t="shared" si="7"/>
        <v>63348</v>
      </c>
      <c r="N23" s="2">
        <f t="shared" si="7"/>
        <v>63448</v>
      </c>
      <c r="O23" s="2">
        <f t="shared" si="7"/>
        <v>64244</v>
      </c>
      <c r="P23" s="2">
        <f t="shared" si="7"/>
        <v>63388</v>
      </c>
      <c r="Q23" s="2">
        <f t="shared" si="7"/>
        <v>63696</v>
      </c>
      <c r="R23" s="2">
        <f t="shared" si="7"/>
        <v>63701</v>
      </c>
      <c r="S23" s="2">
        <f>SUM(S18:S22)</f>
        <v>64497</v>
      </c>
    </row>
    <row r="24" spans="3:25" x14ac:dyDescent="0.35">
      <c r="N24" s="2"/>
      <c r="O24" s="2"/>
    </row>
    <row r="25" spans="3:25" x14ac:dyDescent="0.35">
      <c r="L25">
        <v>30000</v>
      </c>
    </row>
  </sheetData>
  <mergeCells count="1">
    <mergeCell ref="K1:S1"/>
  </mergeCells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05815-EE0A-463E-837C-5B481D726E27}">
  <dimension ref="B1:Z25"/>
  <sheetViews>
    <sheetView topLeftCell="F1" workbookViewId="0">
      <selection activeCell="P11" sqref="P11"/>
    </sheetView>
  </sheetViews>
  <sheetFormatPr defaultRowHeight="14.5" x14ac:dyDescent="0.35"/>
  <cols>
    <col min="3" max="3" width="10.7265625" customWidth="1"/>
    <col min="4" max="6" width="3.81640625" customWidth="1"/>
    <col min="17" max="17" width="11.81640625" customWidth="1"/>
  </cols>
  <sheetData>
    <row r="1" spans="2:26" x14ac:dyDescent="0.35">
      <c r="I1" s="37">
        <v>2020</v>
      </c>
      <c r="J1" s="37"/>
      <c r="K1" s="37"/>
      <c r="L1" s="37"/>
      <c r="M1" s="37"/>
      <c r="N1" s="37"/>
      <c r="O1" s="37"/>
      <c r="P1" s="37"/>
      <c r="Q1" s="37"/>
      <c r="U1" t="s">
        <v>7</v>
      </c>
      <c r="V1" s="16" t="s">
        <v>10</v>
      </c>
      <c r="Y1" t="s">
        <v>8</v>
      </c>
    </row>
    <row r="2" spans="2:26" x14ac:dyDescent="0.35">
      <c r="C2" s="1"/>
      <c r="F2" t="s">
        <v>19</v>
      </c>
      <c r="H2" s="11">
        <v>43101</v>
      </c>
      <c r="I2" t="s">
        <v>7</v>
      </c>
      <c r="J2" s="19">
        <v>43980</v>
      </c>
      <c r="K2" t="s">
        <v>8</v>
      </c>
      <c r="L2" t="s">
        <v>25</v>
      </c>
      <c r="M2" t="s">
        <v>26</v>
      </c>
      <c r="N2" t="s">
        <v>9</v>
      </c>
      <c r="O2" s="19">
        <v>44134</v>
      </c>
      <c r="P2" s="19">
        <v>44165</v>
      </c>
      <c r="Q2" t="s">
        <v>10</v>
      </c>
      <c r="R2" t="s">
        <v>27</v>
      </c>
      <c r="T2" t="s">
        <v>22</v>
      </c>
      <c r="U2" t="s">
        <v>14</v>
      </c>
      <c r="V2" s="16" t="s">
        <v>14</v>
      </c>
      <c r="Y2">
        <v>3097</v>
      </c>
      <c r="Z2">
        <v>1.0345315879847468</v>
      </c>
    </row>
    <row r="3" spans="2:26" x14ac:dyDescent="0.35">
      <c r="C3" t="s">
        <v>0</v>
      </c>
      <c r="F3">
        <v>100</v>
      </c>
      <c r="H3" s="2">
        <v>99083</v>
      </c>
      <c r="I3" s="2">
        <v>80113</v>
      </c>
      <c r="J3" s="2">
        <v>90513</v>
      </c>
      <c r="K3" s="2">
        <v>91497</v>
      </c>
      <c r="L3" s="2">
        <v>95410</v>
      </c>
      <c r="M3" s="2">
        <v>98211</v>
      </c>
      <c r="N3" s="2">
        <v>96415</v>
      </c>
      <c r="O3" s="2">
        <v>95551</v>
      </c>
      <c r="P3" s="2">
        <v>103366</v>
      </c>
      <c r="Q3" s="2">
        <v>103366</v>
      </c>
      <c r="R3" s="2">
        <f>Q3-H3</f>
        <v>4283</v>
      </c>
      <c r="S3" s="14">
        <f>Q3/H3</f>
        <v>1.0432263859592463</v>
      </c>
      <c r="T3" s="14">
        <f t="shared" ref="T3:T4" si="0">Q3/H3</f>
        <v>1.0432263859592463</v>
      </c>
      <c r="U3" s="2">
        <f t="shared" ref="U3:U5" si="1">I3-H3</f>
        <v>-18970</v>
      </c>
      <c r="V3" s="17">
        <f t="shared" ref="V3:V5" si="2">(I3-H3)+(K3-I3)+(O3-K3)+(Q3-O3)</f>
        <v>4283</v>
      </c>
      <c r="Y3">
        <v>2162</v>
      </c>
      <c r="Z3">
        <v>1.0404846169690842</v>
      </c>
    </row>
    <row r="4" spans="2:26" x14ac:dyDescent="0.35">
      <c r="B4" t="s">
        <v>12</v>
      </c>
      <c r="C4" t="s">
        <v>1</v>
      </c>
      <c r="F4">
        <v>60</v>
      </c>
      <c r="H4" s="2">
        <v>56983</v>
      </c>
      <c r="I4" s="2">
        <v>51033</v>
      </c>
      <c r="J4" s="2">
        <v>55083</v>
      </c>
      <c r="K4" s="2">
        <v>55638</v>
      </c>
      <c r="L4" s="2">
        <v>56141</v>
      </c>
      <c r="M4" s="2">
        <v>56529</v>
      </c>
      <c r="N4" s="2">
        <v>56464</v>
      </c>
      <c r="O4" s="2">
        <v>55832</v>
      </c>
      <c r="P4" s="2">
        <v>58787</v>
      </c>
      <c r="Q4" s="2">
        <v>59379</v>
      </c>
      <c r="R4" s="2">
        <f>Q4-H4</f>
        <v>2396</v>
      </c>
      <c r="S4" s="14">
        <f t="shared" ref="S4:S6" si="3">Q4/H4</f>
        <v>1.0420476282400013</v>
      </c>
      <c r="T4" s="14">
        <f t="shared" si="0"/>
        <v>1.0420476282400013</v>
      </c>
      <c r="U4" s="2">
        <f t="shared" si="1"/>
        <v>-5950</v>
      </c>
      <c r="V4" s="17">
        <f t="shared" si="2"/>
        <v>2396</v>
      </c>
      <c r="X4">
        <f>336+656</f>
        <v>992</v>
      </c>
      <c r="Y4">
        <v>21226.099999999977</v>
      </c>
      <c r="Z4">
        <v>1.056331939151389</v>
      </c>
    </row>
    <row r="5" spans="2:26" x14ac:dyDescent="0.35">
      <c r="C5" t="s">
        <v>2</v>
      </c>
      <c r="D5">
        <v>394</v>
      </c>
      <c r="E5">
        <f>394-263</f>
        <v>131</v>
      </c>
      <c r="F5">
        <v>400</v>
      </c>
      <c r="G5" t="s">
        <v>6</v>
      </c>
      <c r="H5" s="2">
        <v>429249</v>
      </c>
      <c r="I5" s="2">
        <v>393761</v>
      </c>
      <c r="J5" s="2">
        <v>429052</v>
      </c>
      <c r="K5" s="2">
        <v>441504</v>
      </c>
      <c r="L5" s="2">
        <v>449818</v>
      </c>
      <c r="M5" s="2">
        <v>450292</v>
      </c>
      <c r="N5" s="2">
        <v>452767</v>
      </c>
      <c r="O5" s="2">
        <v>454627</v>
      </c>
      <c r="P5" s="2">
        <v>469636</v>
      </c>
      <c r="Q5" s="2">
        <v>482504</v>
      </c>
      <c r="R5" s="2">
        <f>Q5-H5</f>
        <v>53255</v>
      </c>
      <c r="S5" s="14">
        <f t="shared" si="3"/>
        <v>1.1240655190809996</v>
      </c>
      <c r="T5" s="14">
        <f>Q5/H5</f>
        <v>1.1240655190809996</v>
      </c>
      <c r="U5" s="2">
        <f t="shared" si="1"/>
        <v>-35488</v>
      </c>
      <c r="V5" s="17">
        <f t="shared" si="2"/>
        <v>53255</v>
      </c>
      <c r="Y5">
        <v>0</v>
      </c>
      <c r="Z5">
        <v>1</v>
      </c>
    </row>
    <row r="6" spans="2:26" x14ac:dyDescent="0.35">
      <c r="C6" t="s">
        <v>3</v>
      </c>
      <c r="F6">
        <v>175</v>
      </c>
      <c r="H6" s="2">
        <v>218263</v>
      </c>
      <c r="I6" s="2">
        <v>218263</v>
      </c>
      <c r="J6" s="2">
        <v>218263</v>
      </c>
      <c r="K6" s="2">
        <v>218263</v>
      </c>
      <c r="L6" s="2">
        <v>218263</v>
      </c>
      <c r="M6" s="2">
        <v>218263</v>
      </c>
      <c r="N6" s="2">
        <v>218263</v>
      </c>
      <c r="O6" s="2">
        <v>218263</v>
      </c>
      <c r="P6" s="2">
        <v>218263</v>
      </c>
      <c r="Q6" s="2">
        <v>218263</v>
      </c>
      <c r="R6" s="2">
        <f>Q6-O6</f>
        <v>0</v>
      </c>
      <c r="S6" s="14">
        <f t="shared" si="3"/>
        <v>1</v>
      </c>
      <c r="T6" s="14">
        <f>Q6/H6</f>
        <v>1</v>
      </c>
      <c r="U6" s="2">
        <f>I6-H6</f>
        <v>0</v>
      </c>
      <c r="V6" s="17">
        <f>(I6-H6)+(K6-I6)+(O6-K6)+(Q6-O6)</f>
        <v>0</v>
      </c>
    </row>
    <row r="7" spans="2:26" ht="15" thickBot="1" x14ac:dyDescent="0.4">
      <c r="C7" t="s">
        <v>4</v>
      </c>
      <c r="F7">
        <f>SUM(F3:F6)</f>
        <v>735</v>
      </c>
      <c r="H7" s="3">
        <f t="shared" ref="H7:Q7" si="4">SUM(H3:H6)</f>
        <v>803578</v>
      </c>
      <c r="I7" s="3">
        <f t="shared" si="4"/>
        <v>743170</v>
      </c>
      <c r="J7" s="3">
        <f t="shared" si="4"/>
        <v>792911</v>
      </c>
      <c r="K7" s="3">
        <f t="shared" si="4"/>
        <v>806902</v>
      </c>
      <c r="L7" s="3">
        <f t="shared" ref="L7:N7" si="5">SUM(L3:L6)</f>
        <v>819632</v>
      </c>
      <c r="M7" s="3">
        <f t="shared" si="5"/>
        <v>823295</v>
      </c>
      <c r="N7" s="3">
        <f t="shared" si="5"/>
        <v>823909</v>
      </c>
      <c r="O7" s="3">
        <f t="shared" si="4"/>
        <v>824273</v>
      </c>
      <c r="P7" s="3">
        <f t="shared" si="4"/>
        <v>850052</v>
      </c>
      <c r="Q7" s="3">
        <f t="shared" si="4"/>
        <v>863512</v>
      </c>
      <c r="T7" s="14">
        <f>Q7/H7</f>
        <v>1.074583923402582</v>
      </c>
      <c r="U7" s="3">
        <f>(H7-G7)+(I7-H7)+(K7-I7)+(O7-K7)</f>
        <v>824273</v>
      </c>
      <c r="V7" s="18">
        <f>(I7-H7)+(K7-I7)+(O7-K7)+(Q7-O7)</f>
        <v>59934</v>
      </c>
    </row>
    <row r="8" spans="2:26" ht="15" thickTop="1" x14ac:dyDescent="0.35">
      <c r="C8" t="s">
        <v>5</v>
      </c>
      <c r="I8" s="4">
        <f>I7-H7</f>
        <v>-60408</v>
      </c>
      <c r="J8" s="4">
        <f>H7-J7</f>
        <v>10667</v>
      </c>
      <c r="K8" s="4">
        <f t="shared" ref="K8:P8" si="6">K7-J7</f>
        <v>13991</v>
      </c>
      <c r="L8" s="4">
        <f t="shared" si="6"/>
        <v>12730</v>
      </c>
      <c r="M8" s="4">
        <f t="shared" si="6"/>
        <v>3663</v>
      </c>
      <c r="N8" s="4">
        <f t="shared" si="6"/>
        <v>614</v>
      </c>
      <c r="O8" s="4">
        <f t="shared" si="6"/>
        <v>364</v>
      </c>
      <c r="P8" s="4">
        <f t="shared" si="6"/>
        <v>25779</v>
      </c>
      <c r="Q8" s="4">
        <f>Q7-H7</f>
        <v>59934</v>
      </c>
      <c r="R8" s="2">
        <f>SUM(R3:R6)</f>
        <v>59934</v>
      </c>
      <c r="U8">
        <f>O7/100*6</f>
        <v>49456.38</v>
      </c>
      <c r="V8" s="16">
        <f>Q7/100*6</f>
        <v>51810.720000000001</v>
      </c>
    </row>
    <row r="9" spans="2:26" x14ac:dyDescent="0.35">
      <c r="Q9" s="2">
        <f>SUM(I8:Q8)</f>
        <v>67334</v>
      </c>
    </row>
    <row r="10" spans="2:26" x14ac:dyDescent="0.35">
      <c r="Q10" s="2">
        <f>Q7-H7</f>
        <v>59934</v>
      </c>
    </row>
    <row r="11" spans="2:26" x14ac:dyDescent="0.35">
      <c r="I11" t="s">
        <v>11</v>
      </c>
    </row>
    <row r="12" spans="2:26" x14ac:dyDescent="0.35">
      <c r="C12" s="1"/>
      <c r="U12">
        <f>110000/12</f>
        <v>9166.6666666666661</v>
      </c>
      <c r="V12">
        <f>9449*12</f>
        <v>113388</v>
      </c>
    </row>
    <row r="13" spans="2:26" x14ac:dyDescent="0.35">
      <c r="U13">
        <f>U12*10</f>
        <v>91666.666666666657</v>
      </c>
      <c r="V13">
        <f>V12/12*10</f>
        <v>94490</v>
      </c>
      <c r="Y13" s="2"/>
    </row>
    <row r="14" spans="2:26" x14ac:dyDescent="0.35">
      <c r="I14">
        <f>2000*30</f>
        <v>60000</v>
      </c>
      <c r="U14">
        <f>U12*3</f>
        <v>27500</v>
      </c>
      <c r="V14">
        <f>V12/12*3</f>
        <v>28347</v>
      </c>
    </row>
    <row r="15" spans="2:26" x14ac:dyDescent="0.35">
      <c r="U15">
        <f>SUM(U13:U14)</f>
        <v>119166.66666666666</v>
      </c>
      <c r="V15">
        <f>SUM(V13:V14)</f>
        <v>122837</v>
      </c>
    </row>
    <row r="17" spans="3:20" x14ac:dyDescent="0.35">
      <c r="I17" t="s">
        <v>7</v>
      </c>
      <c r="K17" t="s">
        <v>8</v>
      </c>
      <c r="L17" t="s">
        <v>25</v>
      </c>
      <c r="M17" t="s">
        <v>26</v>
      </c>
      <c r="N17" t="s">
        <v>9</v>
      </c>
      <c r="P17" s="19">
        <v>44165</v>
      </c>
      <c r="Q17" t="s">
        <v>10</v>
      </c>
      <c r="R17" t="s">
        <v>18</v>
      </c>
    </row>
    <row r="18" spans="3:20" x14ac:dyDescent="0.35">
      <c r="C18" t="s">
        <v>15</v>
      </c>
      <c r="H18" s="15">
        <v>18912</v>
      </c>
      <c r="I18" s="2">
        <v>16083</v>
      </c>
      <c r="J18" s="2">
        <v>31096</v>
      </c>
      <c r="K18" s="2">
        <v>31434</v>
      </c>
      <c r="L18" s="2">
        <v>32816</v>
      </c>
      <c r="M18" s="2">
        <v>33213</v>
      </c>
      <c r="N18" s="2">
        <v>32754</v>
      </c>
      <c r="O18" s="2">
        <v>32210</v>
      </c>
      <c r="P18" s="2">
        <v>34626</v>
      </c>
      <c r="Q18" s="15">
        <v>34989</v>
      </c>
      <c r="S18">
        <v>8300</v>
      </c>
      <c r="T18">
        <v>2880</v>
      </c>
    </row>
    <row r="19" spans="3:20" x14ac:dyDescent="0.35">
      <c r="C19" t="s">
        <v>21</v>
      </c>
      <c r="H19">
        <v>21714</v>
      </c>
      <c r="I19">
        <v>21714</v>
      </c>
      <c r="J19">
        <v>21714</v>
      </c>
      <c r="K19">
        <v>21714</v>
      </c>
      <c r="L19">
        <v>21714</v>
      </c>
      <c r="M19">
        <v>21714</v>
      </c>
      <c r="N19">
        <v>21714</v>
      </c>
      <c r="O19">
        <v>21714</v>
      </c>
      <c r="P19">
        <v>21714</v>
      </c>
      <c r="Q19">
        <v>21714</v>
      </c>
    </row>
    <row r="20" spans="3:20" x14ac:dyDescent="0.35">
      <c r="C20" t="s">
        <v>23</v>
      </c>
      <c r="H20">
        <v>3425</v>
      </c>
      <c r="I20">
        <v>3425</v>
      </c>
      <c r="J20">
        <v>3425</v>
      </c>
      <c r="K20">
        <v>3425</v>
      </c>
      <c r="L20">
        <v>3425</v>
      </c>
      <c r="M20">
        <v>3425</v>
      </c>
      <c r="N20">
        <v>3425</v>
      </c>
      <c r="O20">
        <v>3425</v>
      </c>
      <c r="P20">
        <v>3425</v>
      </c>
      <c r="Q20">
        <v>3425</v>
      </c>
    </row>
    <row r="21" spans="3:20" x14ac:dyDescent="0.35">
      <c r="C21" t="s">
        <v>17</v>
      </c>
      <c r="Q21" s="15"/>
    </row>
    <row r="22" spans="3:20" x14ac:dyDescent="0.35">
      <c r="C22" t="s">
        <v>16</v>
      </c>
      <c r="Q22" s="15"/>
      <c r="R22" t="s">
        <v>24</v>
      </c>
    </row>
    <row r="23" spans="3:20" x14ac:dyDescent="0.35">
      <c r="C23" t="s">
        <v>18</v>
      </c>
      <c r="H23" s="2">
        <f>SUM(H18:H22)</f>
        <v>44051</v>
      </c>
      <c r="I23" s="2">
        <f t="shared" ref="I23:Q23" si="7">SUM(I18:I22)</f>
        <v>41222</v>
      </c>
      <c r="J23" s="2">
        <f t="shared" si="7"/>
        <v>56235</v>
      </c>
      <c r="K23" s="2">
        <f t="shared" si="7"/>
        <v>56573</v>
      </c>
      <c r="L23" s="2">
        <f t="shared" si="7"/>
        <v>57955</v>
      </c>
      <c r="M23" s="2">
        <f t="shared" si="7"/>
        <v>58352</v>
      </c>
      <c r="N23" s="2">
        <f t="shared" si="7"/>
        <v>57893</v>
      </c>
      <c r="O23" s="2">
        <f t="shared" si="7"/>
        <v>57349</v>
      </c>
      <c r="P23" s="2">
        <f t="shared" si="7"/>
        <v>59765</v>
      </c>
      <c r="Q23" s="2">
        <f t="shared" si="7"/>
        <v>60128</v>
      </c>
    </row>
    <row r="24" spans="3:20" x14ac:dyDescent="0.35">
      <c r="L24" s="2"/>
      <c r="M24" s="2"/>
    </row>
    <row r="25" spans="3:20" x14ac:dyDescent="0.35">
      <c r="J25">
        <v>30000</v>
      </c>
    </row>
  </sheetData>
  <mergeCells count="1">
    <mergeCell ref="I1:Q1"/>
  </mergeCells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6BE3F-F21E-44BD-9C18-33E6C4C4EED7}">
  <dimension ref="B1:U23"/>
  <sheetViews>
    <sheetView topLeftCell="C1" workbookViewId="0">
      <selection activeCell="N9" sqref="N9"/>
    </sheetView>
  </sheetViews>
  <sheetFormatPr defaultRowHeight="14.5" x14ac:dyDescent="0.35"/>
  <cols>
    <col min="3" max="3" width="10.7265625" customWidth="1"/>
    <col min="4" max="6" width="3.81640625" customWidth="1"/>
  </cols>
  <sheetData>
    <row r="1" spans="2:21" x14ac:dyDescent="0.35">
      <c r="I1" s="37">
        <v>2019</v>
      </c>
      <c r="J1" s="37"/>
      <c r="K1" s="37"/>
      <c r="L1" s="37"/>
      <c r="T1" t="s">
        <v>8</v>
      </c>
    </row>
    <row r="2" spans="2:21" x14ac:dyDescent="0.35">
      <c r="C2" s="1"/>
      <c r="F2" t="s">
        <v>19</v>
      </c>
      <c r="H2" s="11">
        <v>43101</v>
      </c>
      <c r="I2" t="s">
        <v>7</v>
      </c>
      <c r="J2" t="s">
        <v>8</v>
      </c>
      <c r="K2" t="s">
        <v>9</v>
      </c>
      <c r="L2" t="s">
        <v>10</v>
      </c>
      <c r="M2" t="s">
        <v>20</v>
      </c>
      <c r="O2" t="s">
        <v>22</v>
      </c>
      <c r="Q2" t="s">
        <v>14</v>
      </c>
      <c r="T2">
        <v>3097</v>
      </c>
      <c r="U2">
        <v>1.0345315879847468</v>
      </c>
    </row>
    <row r="3" spans="2:21" x14ac:dyDescent="0.35">
      <c r="C3" t="s">
        <v>0</v>
      </c>
      <c r="F3">
        <v>100</v>
      </c>
      <c r="H3" s="2">
        <v>80927</v>
      </c>
      <c r="I3" s="13">
        <v>89686</v>
      </c>
      <c r="J3" s="2">
        <v>92783</v>
      </c>
      <c r="K3" s="2">
        <v>95000</v>
      </c>
      <c r="L3" s="2">
        <v>99083</v>
      </c>
      <c r="M3" s="2">
        <f t="shared" ref="M3:M5" si="0">L3-K3</f>
        <v>4083</v>
      </c>
      <c r="N3" s="14">
        <f>L3/K3</f>
        <v>1.042978947368421</v>
      </c>
      <c r="O3" s="14">
        <f t="shared" ref="O3:O4" si="1">L3/H3</f>
        <v>1.2243503404302643</v>
      </c>
      <c r="Q3" s="2">
        <f t="shared" ref="Q3:Q5" si="2">(I3-H3)+(J3-I3)+(K3-J3)+(L3-K3)</f>
        <v>18156</v>
      </c>
      <c r="T3">
        <v>2162</v>
      </c>
      <c r="U3">
        <v>1.0404846169690842</v>
      </c>
    </row>
    <row r="4" spans="2:21" x14ac:dyDescent="0.35">
      <c r="B4" t="s">
        <v>12</v>
      </c>
      <c r="C4" t="s">
        <v>1</v>
      </c>
      <c r="F4">
        <v>60</v>
      </c>
      <c r="H4" s="2">
        <v>50962</v>
      </c>
      <c r="I4" s="13">
        <v>53403</v>
      </c>
      <c r="J4" s="2">
        <v>55565</v>
      </c>
      <c r="K4" s="2">
        <v>57131</v>
      </c>
      <c r="L4" s="2">
        <v>56983</v>
      </c>
      <c r="M4" s="2">
        <f t="shared" si="0"/>
        <v>-148</v>
      </c>
      <c r="N4" s="14">
        <f t="shared" ref="N4:N6" si="3">L4/K4</f>
        <v>0.99740946246346118</v>
      </c>
      <c r="O4" s="14">
        <f t="shared" si="1"/>
        <v>1.1181468545190534</v>
      </c>
      <c r="Q4" s="2">
        <f t="shared" si="2"/>
        <v>6021</v>
      </c>
      <c r="S4">
        <f>336+656</f>
        <v>992</v>
      </c>
      <c r="T4">
        <v>21226.099999999977</v>
      </c>
      <c r="U4">
        <v>1.056331939151389</v>
      </c>
    </row>
    <row r="5" spans="2:21" x14ac:dyDescent="0.35">
      <c r="C5" t="s">
        <v>2</v>
      </c>
      <c r="D5">
        <v>394</v>
      </c>
      <c r="E5">
        <f>394-263</f>
        <v>131</v>
      </c>
      <c r="F5">
        <v>400</v>
      </c>
      <c r="G5" t="s">
        <v>6</v>
      </c>
      <c r="H5" s="2">
        <v>344845</v>
      </c>
      <c r="I5" s="13">
        <v>376804</v>
      </c>
      <c r="J5" s="2">
        <v>398030.1</v>
      </c>
      <c r="K5" s="2">
        <v>414153</v>
      </c>
      <c r="L5" s="2">
        <v>429249</v>
      </c>
      <c r="M5" s="2">
        <f t="shared" si="0"/>
        <v>15096</v>
      </c>
      <c r="N5" s="14">
        <f t="shared" si="3"/>
        <v>1.0364502973538765</v>
      </c>
      <c r="O5" s="14">
        <f>L5/H5</f>
        <v>1.2447592396583973</v>
      </c>
      <c r="Q5" s="2">
        <f t="shared" si="2"/>
        <v>84404</v>
      </c>
      <c r="T5">
        <v>0</v>
      </c>
      <c r="U5">
        <v>1</v>
      </c>
    </row>
    <row r="6" spans="2:21" x14ac:dyDescent="0.35">
      <c r="C6" t="s">
        <v>3</v>
      </c>
      <c r="F6">
        <v>175</v>
      </c>
      <c r="H6" s="2">
        <v>180130</v>
      </c>
      <c r="I6" s="12">
        <v>180130</v>
      </c>
      <c r="J6" s="2">
        <v>180130</v>
      </c>
      <c r="K6" s="2">
        <v>180130</v>
      </c>
      <c r="L6" s="2">
        <v>218263</v>
      </c>
      <c r="M6" s="2">
        <f>L6-K6</f>
        <v>38133</v>
      </c>
      <c r="N6" s="14">
        <f t="shared" si="3"/>
        <v>1.2116971076444789</v>
      </c>
      <c r="O6" s="14">
        <f>L6/H6</f>
        <v>1.2116971076444789</v>
      </c>
      <c r="Q6" s="2">
        <f>(I6-H6)+(J6-I6)+(K6-J6)+(L6-K6)</f>
        <v>38133</v>
      </c>
    </row>
    <row r="7" spans="2:21" ht="15" thickBot="1" x14ac:dyDescent="0.4">
      <c r="C7" t="s">
        <v>4</v>
      </c>
      <c r="F7">
        <f>SUM(F3:F6)</f>
        <v>735</v>
      </c>
      <c r="H7" s="3">
        <f>SUM(H3:H6)</f>
        <v>656864</v>
      </c>
      <c r="I7" s="3">
        <f>SUM(I3:I6)</f>
        <v>700023</v>
      </c>
      <c r="J7" s="3">
        <f>SUM(J3:J6)</f>
        <v>726508.1</v>
      </c>
      <c r="K7" s="3">
        <f>SUM(K3:K6)</f>
        <v>746414</v>
      </c>
      <c r="L7" s="3">
        <f>SUM(L3:L6)</f>
        <v>803578</v>
      </c>
      <c r="O7" s="14">
        <f>L7/H7</f>
        <v>1.2233552150825742</v>
      </c>
      <c r="Q7" s="3">
        <f>(I7-H7)+(J7-I7)+(K7-J7)+(L7-K7)</f>
        <v>146714</v>
      </c>
    </row>
    <row r="8" spans="2:21" ht="15" thickTop="1" x14ac:dyDescent="0.35">
      <c r="C8" t="s">
        <v>5</v>
      </c>
      <c r="I8" s="4">
        <f>I7-H7</f>
        <v>43159</v>
      </c>
      <c r="J8" s="4">
        <f>J7-I7</f>
        <v>26485.099999999977</v>
      </c>
      <c r="K8" s="4">
        <f>K7-J7</f>
        <v>19905.900000000023</v>
      </c>
      <c r="L8" s="4">
        <f>L7-K7</f>
        <v>57164</v>
      </c>
      <c r="M8" s="2">
        <f>SUM(M3:M6)</f>
        <v>57164</v>
      </c>
      <c r="Q8">
        <f>L7/100*6</f>
        <v>48214.68</v>
      </c>
    </row>
    <row r="9" spans="2:21" x14ac:dyDescent="0.35">
      <c r="L9" s="2">
        <f>SUM(I8:L8)</f>
        <v>146714</v>
      </c>
    </row>
    <row r="10" spans="2:21" x14ac:dyDescent="0.35">
      <c r="L10" s="2">
        <f>L7-H7</f>
        <v>146714</v>
      </c>
    </row>
    <row r="11" spans="2:21" x14ac:dyDescent="0.35">
      <c r="I11" t="s">
        <v>11</v>
      </c>
    </row>
    <row r="12" spans="2:21" x14ac:dyDescent="0.35">
      <c r="C12" s="1"/>
      <c r="P12">
        <f>110000/12</f>
        <v>9166.6666666666661</v>
      </c>
      <c r="Q12">
        <f>9449*12</f>
        <v>113388</v>
      </c>
    </row>
    <row r="13" spans="2:21" x14ac:dyDescent="0.35">
      <c r="P13">
        <f>P12*10</f>
        <v>91666.666666666657</v>
      </c>
      <c r="Q13">
        <f>Q12/12*10</f>
        <v>94490</v>
      </c>
      <c r="T13" s="2"/>
    </row>
    <row r="14" spans="2:21" x14ac:dyDescent="0.35">
      <c r="I14">
        <f>2000*30</f>
        <v>60000</v>
      </c>
      <c r="P14">
        <f>P12*3</f>
        <v>27500</v>
      </c>
      <c r="Q14">
        <f>Q12/12*3</f>
        <v>28347</v>
      </c>
    </row>
    <row r="15" spans="2:21" x14ac:dyDescent="0.35">
      <c r="P15">
        <f>SUM(P13:P14)</f>
        <v>119166.66666666666</v>
      </c>
      <c r="Q15">
        <f>SUM(Q13:Q14)</f>
        <v>122837</v>
      </c>
    </row>
    <row r="17" spans="3:13" x14ac:dyDescent="0.35">
      <c r="I17" t="s">
        <v>7</v>
      </c>
      <c r="J17" t="s">
        <v>8</v>
      </c>
      <c r="K17" t="s">
        <v>9</v>
      </c>
      <c r="L17" t="s">
        <v>10</v>
      </c>
      <c r="M17" t="s">
        <v>18</v>
      </c>
    </row>
    <row r="18" spans="3:13" x14ac:dyDescent="0.35">
      <c r="C18" t="s">
        <v>15</v>
      </c>
      <c r="H18">
        <v>16708</v>
      </c>
      <c r="I18" s="2">
        <v>17719</v>
      </c>
      <c r="J18" s="2">
        <v>18291</v>
      </c>
      <c r="K18">
        <v>18542</v>
      </c>
      <c r="L18" s="15">
        <v>18912</v>
      </c>
    </row>
    <row r="19" spans="3:13" x14ac:dyDescent="0.35">
      <c r="C19" t="s">
        <v>21</v>
      </c>
      <c r="H19">
        <v>18526</v>
      </c>
      <c r="I19">
        <v>18526</v>
      </c>
      <c r="J19">
        <v>18526</v>
      </c>
      <c r="K19">
        <v>18526</v>
      </c>
      <c r="L19">
        <v>21714</v>
      </c>
    </row>
    <row r="20" spans="3:13" x14ac:dyDescent="0.35">
      <c r="C20" t="s">
        <v>23</v>
      </c>
      <c r="H20">
        <v>3324</v>
      </c>
      <c r="I20">
        <v>3324</v>
      </c>
      <c r="J20">
        <v>3324</v>
      </c>
      <c r="K20">
        <v>3425</v>
      </c>
      <c r="L20">
        <v>3425</v>
      </c>
    </row>
    <row r="21" spans="3:13" x14ac:dyDescent="0.35">
      <c r="C21" t="s">
        <v>17</v>
      </c>
      <c r="L21" s="15"/>
    </row>
    <row r="22" spans="3:13" x14ac:dyDescent="0.35">
      <c r="C22" t="s">
        <v>16</v>
      </c>
      <c r="L22" s="15"/>
    </row>
    <row r="23" spans="3:13" x14ac:dyDescent="0.35">
      <c r="C23" t="s">
        <v>18</v>
      </c>
      <c r="H23" s="2">
        <f>SUM(H18:H22)</f>
        <v>38558</v>
      </c>
      <c r="I23" s="2">
        <f t="shared" ref="I23:L23" si="4">SUM(I18:I22)</f>
        <v>39569</v>
      </c>
      <c r="J23" s="2">
        <f t="shared" si="4"/>
        <v>40141</v>
      </c>
      <c r="K23" s="2">
        <f t="shared" si="4"/>
        <v>40493</v>
      </c>
      <c r="L23" s="2">
        <f t="shared" si="4"/>
        <v>44051</v>
      </c>
    </row>
  </sheetData>
  <mergeCells count="1">
    <mergeCell ref="I1:L1"/>
  </mergeCells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S22"/>
  <sheetViews>
    <sheetView topLeftCell="B1" workbookViewId="0">
      <selection activeCell="N5" sqref="N5"/>
    </sheetView>
  </sheetViews>
  <sheetFormatPr defaultRowHeight="14.5" x14ac:dyDescent="0.35"/>
  <cols>
    <col min="3" max="3" width="10.7265625" customWidth="1"/>
    <col min="4" max="6" width="3.81640625" customWidth="1"/>
  </cols>
  <sheetData>
    <row r="1" spans="2:19" x14ac:dyDescent="0.35">
      <c r="I1" s="37">
        <v>2017</v>
      </c>
      <c r="J1" s="37"/>
      <c r="K1" s="37"/>
      <c r="L1" s="37"/>
    </row>
    <row r="2" spans="2:19" x14ac:dyDescent="0.35">
      <c r="C2" s="1"/>
      <c r="F2" t="s">
        <v>19</v>
      </c>
      <c r="H2" s="11">
        <v>43101</v>
      </c>
      <c r="I2" t="s">
        <v>7</v>
      </c>
      <c r="J2" t="s">
        <v>8</v>
      </c>
      <c r="K2" t="s">
        <v>9</v>
      </c>
      <c r="L2" t="s">
        <v>10</v>
      </c>
      <c r="M2" t="s">
        <v>20</v>
      </c>
      <c r="Q2" t="s">
        <v>14</v>
      </c>
    </row>
    <row r="3" spans="2:19" x14ac:dyDescent="0.35">
      <c r="C3" t="s">
        <v>0</v>
      </c>
      <c r="F3">
        <v>100</v>
      </c>
      <c r="H3">
        <v>87731</v>
      </c>
      <c r="I3">
        <v>85414</v>
      </c>
      <c r="J3">
        <v>87489</v>
      </c>
      <c r="K3" s="5">
        <v>89881</v>
      </c>
      <c r="L3">
        <v>80927</v>
      </c>
      <c r="M3">
        <f>L3-K3</f>
        <v>-8954</v>
      </c>
      <c r="N3">
        <v>12</v>
      </c>
    </row>
    <row r="4" spans="2:19" x14ac:dyDescent="0.35">
      <c r="B4" t="s">
        <v>12</v>
      </c>
      <c r="C4" t="s">
        <v>1</v>
      </c>
      <c r="F4">
        <v>60</v>
      </c>
      <c r="H4">
        <v>53246</v>
      </c>
      <c r="I4" s="2">
        <v>51908</v>
      </c>
      <c r="J4">
        <v>53408</v>
      </c>
      <c r="K4" s="7">
        <v>52656</v>
      </c>
      <c r="L4">
        <v>50962</v>
      </c>
      <c r="M4">
        <f t="shared" ref="M4" si="0">K4-J4</f>
        <v>-752</v>
      </c>
      <c r="N4">
        <v>11</v>
      </c>
      <c r="S4">
        <f>336+656</f>
        <v>992</v>
      </c>
    </row>
    <row r="5" spans="2:19" x14ac:dyDescent="0.35">
      <c r="C5" t="s">
        <v>2</v>
      </c>
      <c r="D5">
        <v>394</v>
      </c>
      <c r="E5">
        <f>394-263</f>
        <v>131</v>
      </c>
      <c r="F5">
        <v>400</v>
      </c>
      <c r="G5" t="s">
        <v>6</v>
      </c>
      <c r="H5">
        <v>320203</v>
      </c>
      <c r="I5" s="10">
        <f>8800+321510+2305</f>
        <v>332615</v>
      </c>
      <c r="J5" s="2">
        <v>338921</v>
      </c>
      <c r="K5" s="6">
        <v>352871</v>
      </c>
      <c r="L5">
        <v>344845</v>
      </c>
      <c r="M5">
        <f>L5-K5</f>
        <v>-8026</v>
      </c>
    </row>
    <row r="6" spans="2:19" x14ac:dyDescent="0.35">
      <c r="C6" t="s">
        <v>3</v>
      </c>
      <c r="F6">
        <v>175</v>
      </c>
      <c r="H6">
        <v>170000</v>
      </c>
      <c r="I6" s="2">
        <v>170000</v>
      </c>
      <c r="J6" s="2">
        <v>170000</v>
      </c>
      <c r="K6" s="2">
        <v>170000</v>
      </c>
      <c r="L6" s="2">
        <v>180130</v>
      </c>
      <c r="M6" s="2">
        <f>L6-K6</f>
        <v>10130</v>
      </c>
    </row>
    <row r="7" spans="2:19" ht="15" thickBot="1" x14ac:dyDescent="0.4">
      <c r="C7" t="s">
        <v>4</v>
      </c>
      <c r="F7">
        <f>SUM(F3:F6)</f>
        <v>735</v>
      </c>
      <c r="H7">
        <v>631180</v>
      </c>
      <c r="I7" s="3">
        <f>SUM(I3:I6)</f>
        <v>639937</v>
      </c>
      <c r="J7" s="3">
        <f>SUM(J3:J6)</f>
        <v>649818</v>
      </c>
      <c r="K7" s="3">
        <f>SUM(K3:K6)</f>
        <v>665408</v>
      </c>
      <c r="L7" s="3">
        <f>SUM(L3:L6)</f>
        <v>656864</v>
      </c>
    </row>
    <row r="8" spans="2:19" ht="15" thickTop="1" x14ac:dyDescent="0.35">
      <c r="C8" t="s">
        <v>5</v>
      </c>
      <c r="I8" s="4">
        <f>I7-H7</f>
        <v>8757</v>
      </c>
      <c r="J8" s="4">
        <f>J7-I7</f>
        <v>9881</v>
      </c>
      <c r="K8" s="4">
        <f>K7-J7</f>
        <v>15590</v>
      </c>
      <c r="L8" s="4">
        <f>L7-K7</f>
        <v>-8544</v>
      </c>
      <c r="M8" s="2">
        <f>SUM(M3:M6)</f>
        <v>-7602</v>
      </c>
      <c r="Q8">
        <f>L7/100*6</f>
        <v>39411.840000000004</v>
      </c>
    </row>
    <row r="9" spans="2:19" x14ac:dyDescent="0.35">
      <c r="L9" s="2">
        <f>SUM(I8:L8)</f>
        <v>25684</v>
      </c>
    </row>
    <row r="10" spans="2:19" x14ac:dyDescent="0.35">
      <c r="L10" s="2">
        <f>L7-H7</f>
        <v>25684</v>
      </c>
    </row>
    <row r="11" spans="2:19" x14ac:dyDescent="0.35">
      <c r="I11" t="s">
        <v>11</v>
      </c>
    </row>
    <row r="12" spans="2:19" x14ac:dyDescent="0.35">
      <c r="C12" s="1"/>
      <c r="P12">
        <f>110000/12</f>
        <v>9166.6666666666661</v>
      </c>
      <c r="Q12">
        <f>9449*12</f>
        <v>113388</v>
      </c>
    </row>
    <row r="13" spans="2:19" x14ac:dyDescent="0.35">
      <c r="P13">
        <f>P12*10</f>
        <v>91666.666666666657</v>
      </c>
      <c r="Q13">
        <f>Q12/12*10</f>
        <v>94490</v>
      </c>
    </row>
    <row r="14" spans="2:19" x14ac:dyDescent="0.35">
      <c r="I14">
        <f>2000*30</f>
        <v>60000</v>
      </c>
      <c r="P14">
        <f>P12*3</f>
        <v>27500</v>
      </c>
      <c r="Q14">
        <f>Q12/12*3</f>
        <v>28347</v>
      </c>
    </row>
    <row r="15" spans="2:19" x14ac:dyDescent="0.35">
      <c r="P15">
        <f>SUM(P13:P14)</f>
        <v>119166.66666666666</v>
      </c>
      <c r="Q15">
        <f>SUM(Q13:Q14)</f>
        <v>122837</v>
      </c>
    </row>
    <row r="17" spans="3:13" x14ac:dyDescent="0.35">
      <c r="I17" t="s">
        <v>7</v>
      </c>
      <c r="J17" t="s">
        <v>8</v>
      </c>
      <c r="K17" t="s">
        <v>9</v>
      </c>
      <c r="L17" t="s">
        <v>10</v>
      </c>
      <c r="M17" t="s">
        <v>18</v>
      </c>
    </row>
    <row r="18" spans="3:13" x14ac:dyDescent="0.35">
      <c r="C18" t="s">
        <v>15</v>
      </c>
      <c r="I18" s="2">
        <v>7200</v>
      </c>
      <c r="J18" s="2">
        <v>16144</v>
      </c>
      <c r="K18">
        <v>18087</v>
      </c>
      <c r="L18">
        <v>16708</v>
      </c>
    </row>
    <row r="19" spans="3:13" x14ac:dyDescent="0.35">
      <c r="C19" t="s">
        <v>21</v>
      </c>
      <c r="I19" s="2"/>
      <c r="J19" s="2"/>
      <c r="L19">
        <v>18526</v>
      </c>
    </row>
    <row r="20" spans="3:13" x14ac:dyDescent="0.35">
      <c r="C20" t="s">
        <v>17</v>
      </c>
    </row>
    <row r="21" spans="3:13" x14ac:dyDescent="0.35">
      <c r="C21" t="s">
        <v>16</v>
      </c>
    </row>
    <row r="22" spans="3:13" x14ac:dyDescent="0.35">
      <c r="C22" t="s">
        <v>18</v>
      </c>
      <c r="I22" s="2">
        <f>SUM(I18:I21)</f>
        <v>7200</v>
      </c>
      <c r="J22" s="2">
        <f>SUM(J18:J21)</f>
        <v>16144</v>
      </c>
      <c r="K22" s="2">
        <f>SUM(K18:K21)</f>
        <v>18087</v>
      </c>
      <c r="L22" s="2">
        <f>SUM(L18:L21)</f>
        <v>35234</v>
      </c>
    </row>
  </sheetData>
  <mergeCells count="1">
    <mergeCell ref="I1:L1"/>
  </mergeCells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15"/>
  <sheetViews>
    <sheetView workbookViewId="0">
      <selection activeCell="L8" sqref="L8:N8"/>
    </sheetView>
  </sheetViews>
  <sheetFormatPr defaultRowHeight="14.5" x14ac:dyDescent="0.35"/>
  <cols>
    <col min="3" max="3" width="10.7265625" bestFit="1" customWidth="1"/>
    <col min="7" max="9" width="3.81640625" bestFit="1" customWidth="1"/>
  </cols>
  <sheetData>
    <row r="1" spans="2:20" x14ac:dyDescent="0.35">
      <c r="L1" s="37">
        <v>2017</v>
      </c>
      <c r="M1" s="37"/>
      <c r="N1" s="37"/>
      <c r="O1" s="37"/>
    </row>
    <row r="2" spans="2:20" x14ac:dyDescent="0.35">
      <c r="C2" s="1">
        <v>42735</v>
      </c>
      <c r="I2" t="s">
        <v>13</v>
      </c>
      <c r="L2" t="s">
        <v>7</v>
      </c>
      <c r="M2" t="s">
        <v>8</v>
      </c>
      <c r="N2" t="s">
        <v>9</v>
      </c>
      <c r="O2" t="s">
        <v>10</v>
      </c>
      <c r="T2" t="s">
        <v>14</v>
      </c>
    </row>
    <row r="3" spans="2:20" x14ac:dyDescent="0.35">
      <c r="C3" t="s">
        <v>0</v>
      </c>
      <c r="E3" s="2">
        <v>81392</v>
      </c>
      <c r="I3">
        <v>100</v>
      </c>
      <c r="L3" s="2">
        <v>83000</v>
      </c>
      <c r="M3" s="2">
        <v>83770</v>
      </c>
      <c r="N3" s="2">
        <v>84608</v>
      </c>
      <c r="O3" s="2">
        <v>87731</v>
      </c>
      <c r="P3">
        <f>100/83</f>
        <v>1.2048192771084338</v>
      </c>
      <c r="Q3">
        <v>12</v>
      </c>
      <c r="T3">
        <f>O3-E3</f>
        <v>6339</v>
      </c>
    </row>
    <row r="4" spans="2:20" x14ac:dyDescent="0.35">
      <c r="B4" t="s">
        <v>12</v>
      </c>
      <c r="C4" t="s">
        <v>1</v>
      </c>
      <c r="E4" s="2">
        <v>50404</v>
      </c>
      <c r="I4">
        <v>60</v>
      </c>
      <c r="L4" s="2">
        <v>51000</v>
      </c>
      <c r="M4" s="2">
        <v>51887</v>
      </c>
      <c r="N4" s="2">
        <v>51618</v>
      </c>
      <c r="O4" s="2">
        <v>53246</v>
      </c>
      <c r="P4">
        <f>60/51</f>
        <v>1.1764705882352942</v>
      </c>
      <c r="Q4">
        <v>11</v>
      </c>
      <c r="T4">
        <f>O4-E4</f>
        <v>2842</v>
      </c>
    </row>
    <row r="5" spans="2:20" x14ac:dyDescent="0.35">
      <c r="C5" t="s">
        <v>2</v>
      </c>
      <c r="E5" s="2">
        <v>263958</v>
      </c>
      <c r="G5">
        <v>394</v>
      </c>
      <c r="H5">
        <f>394-263</f>
        <v>131</v>
      </c>
      <c r="I5">
        <v>400</v>
      </c>
      <c r="J5" t="s">
        <v>6</v>
      </c>
      <c r="L5" s="2">
        <v>285000</v>
      </c>
      <c r="M5" s="2">
        <v>300813</v>
      </c>
      <c r="N5" s="2">
        <v>304560</v>
      </c>
      <c r="O5" s="2">
        <v>320203</v>
      </c>
      <c r="P5">
        <f>400/285</f>
        <v>1.4035087719298245</v>
      </c>
      <c r="T5">
        <f>O5-E5</f>
        <v>56245</v>
      </c>
    </row>
    <row r="6" spans="2:20" x14ac:dyDescent="0.35">
      <c r="C6" t="s">
        <v>3</v>
      </c>
      <c r="E6" s="2">
        <v>150000</v>
      </c>
      <c r="I6">
        <v>175</v>
      </c>
      <c r="L6" s="2">
        <v>150000</v>
      </c>
      <c r="M6" s="2">
        <v>150000</v>
      </c>
      <c r="N6" s="2">
        <v>170000</v>
      </c>
      <c r="O6" s="2">
        <v>170000</v>
      </c>
      <c r="P6">
        <f>175/150</f>
        <v>1.1666666666666667</v>
      </c>
      <c r="T6">
        <f>O6-E6</f>
        <v>20000</v>
      </c>
    </row>
    <row r="7" spans="2:20" ht="15" thickBot="1" x14ac:dyDescent="0.4">
      <c r="C7" t="s">
        <v>4</v>
      </c>
      <c r="E7" s="3">
        <f>SUM(E3:E6)</f>
        <v>545754</v>
      </c>
      <c r="I7">
        <f>SUM(I3:I6)</f>
        <v>735</v>
      </c>
      <c r="L7" s="3">
        <f>SUM(L3:L6)</f>
        <v>569000</v>
      </c>
      <c r="M7" s="3">
        <f>SUM(M3:M6)</f>
        <v>586470</v>
      </c>
      <c r="N7" s="3">
        <f>SUM(N3:N6)</f>
        <v>610786</v>
      </c>
      <c r="O7" s="8">
        <f>SUM(O3:O6)</f>
        <v>631180</v>
      </c>
      <c r="T7" s="9">
        <f>SUM(T3:T6)</f>
        <v>85426</v>
      </c>
    </row>
    <row r="8" spans="2:20" ht="15" thickTop="1" x14ac:dyDescent="0.35">
      <c r="C8" t="s">
        <v>5</v>
      </c>
      <c r="L8" s="4">
        <f>L7-E7</f>
        <v>23246</v>
      </c>
      <c r="M8" s="4">
        <f>M7-L7</f>
        <v>17470</v>
      </c>
      <c r="N8" s="4">
        <f>N7-M7</f>
        <v>24316</v>
      </c>
      <c r="O8" s="4">
        <f>O7-N7</f>
        <v>20394</v>
      </c>
      <c r="P8" s="2">
        <f>SUM(L8:O8)</f>
        <v>85426</v>
      </c>
    </row>
    <row r="11" spans="2:20" x14ac:dyDescent="0.35">
      <c r="L11" t="s">
        <v>11</v>
      </c>
    </row>
    <row r="12" spans="2:20" x14ac:dyDescent="0.35">
      <c r="C12" s="1"/>
      <c r="S12">
        <f>110000/12</f>
        <v>9166.6666666666661</v>
      </c>
      <c r="T12">
        <f>9449*12</f>
        <v>113388</v>
      </c>
    </row>
    <row r="13" spans="2:20" x14ac:dyDescent="0.35">
      <c r="S13">
        <f>S12*10</f>
        <v>91666.666666666657</v>
      </c>
      <c r="T13">
        <f>T12/12*10</f>
        <v>94490</v>
      </c>
    </row>
    <row r="14" spans="2:20" x14ac:dyDescent="0.35">
      <c r="L14">
        <f>2000*30</f>
        <v>60000</v>
      </c>
      <c r="S14">
        <f>S12*3</f>
        <v>27500</v>
      </c>
      <c r="T14">
        <f>T12/12*3</f>
        <v>28347</v>
      </c>
    </row>
    <row r="15" spans="2:20" x14ac:dyDescent="0.35">
      <c r="S15">
        <f>SUM(S13:S14)</f>
        <v>119166.66666666666</v>
      </c>
      <c r="T15">
        <f>SUM(T13:T14)</f>
        <v>122837</v>
      </c>
    </row>
  </sheetData>
  <mergeCells count="1">
    <mergeCell ref="L1:O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Pen Limits</vt:lpstr>
      <vt:lpstr>2026</vt:lpstr>
      <vt:lpstr>2025</vt:lpstr>
      <vt:lpstr>2024</vt:lpstr>
      <vt:lpstr>2023</vt:lpstr>
      <vt:lpstr>2022</vt:lpstr>
      <vt:lpstr>Remploy Pension Options</vt:lpstr>
      <vt:lpstr>2021</vt:lpstr>
      <vt:lpstr>2020</vt:lpstr>
      <vt:lpstr>2019</vt:lpstr>
      <vt:lpstr>2018</vt:lpstr>
      <vt:lpstr>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Green, Martin</dc:creator>
  <cp:lastModifiedBy>Martin Green</cp:lastModifiedBy>
  <dcterms:created xsi:type="dcterms:W3CDTF">2016-12-31T15:00:29Z</dcterms:created>
  <dcterms:modified xsi:type="dcterms:W3CDTF">2026-03-17T12:35:33Z</dcterms:modified>
</cp:coreProperties>
</file>